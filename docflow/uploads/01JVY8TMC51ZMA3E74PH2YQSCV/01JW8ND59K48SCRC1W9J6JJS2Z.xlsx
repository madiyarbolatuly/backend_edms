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" sheetId="1" r:id="rId4"/>
    <sheet state="visible" name="Balance Sheet" sheetId="2" r:id="rId5"/>
    <sheet state="visible" name="Income statement" sheetId="3" r:id="rId6"/>
  </sheets>
  <definedNames/>
  <calcPr/>
</workbook>
</file>

<file path=xl/sharedStrings.xml><?xml version="1.0" encoding="utf-8"?>
<sst xmlns="http://schemas.openxmlformats.org/spreadsheetml/2006/main" count="122" uniqueCount="121">
  <si>
    <t>Parameter</t>
  </si>
  <si>
    <t>Value</t>
  </si>
  <si>
    <t xml:space="preserve">Premium subscription per month </t>
  </si>
  <si>
    <t>Projected number of users (exponential)</t>
  </si>
  <si>
    <t>Number of Muslims who have access to internet in the world (16-35 age)</t>
  </si>
  <si>
    <t>add_rev per year</t>
  </si>
  <si>
    <t>Number of Christians who have access to internet in the world (16-35 age)</t>
  </si>
  <si>
    <t>subscription_rev per year</t>
  </si>
  <si>
    <t>premium sub percentage from total user base</t>
  </si>
  <si>
    <t>donat_rev per year</t>
  </si>
  <si>
    <t>revenue from Premium subs per month if we cover all market</t>
  </si>
  <si>
    <t>Google/Apple/Samsung/Amazon/MS Store commision</t>
  </si>
  <si>
    <t>total revenue per year</t>
  </si>
  <si>
    <t>revenue from subs after commisions per month</t>
  </si>
  <si>
    <t>total rev after commisions (30%) per year</t>
  </si>
  <si>
    <t>average number of add interactions a day for a active user</t>
  </si>
  <si>
    <t xml:space="preserve"> avg eCPM (cost for 1000 interactions)</t>
  </si>
  <si>
    <t>Eqip expense per year</t>
  </si>
  <si>
    <t>the salary of the Founder per month</t>
  </si>
  <si>
    <t>salary expenses per year</t>
  </si>
  <si>
    <t>Comments</t>
  </si>
  <si>
    <t>the salary of the Chief Technology Officer (CTO) per month</t>
  </si>
  <si>
    <t>cloud services expense per year</t>
  </si>
  <si>
    <t>#1</t>
  </si>
  <si>
    <t>We rented a new office in 2026 for 30K$/year</t>
  </si>
  <si>
    <t>the salary of the UX/UI Designer per month</t>
  </si>
  <si>
    <t>rent expense per year</t>
  </si>
  <si>
    <t>#2</t>
  </si>
  <si>
    <t>Office rent rises 5% each year</t>
  </si>
  <si>
    <t>the salaries of 2 Mobile Software Developers per month</t>
  </si>
  <si>
    <t>Other expenses per year</t>
  </si>
  <si>
    <t>#3</t>
  </si>
  <si>
    <t>We hire 5 more employees each year</t>
  </si>
  <si>
    <t>the salaries of 3 Religious Scholars/Researchers for content creation per month</t>
  </si>
  <si>
    <t>Marketing expenses per year</t>
  </si>
  <si>
    <t>#4</t>
  </si>
  <si>
    <t>Cloud services expense rises wih the user base growth</t>
  </si>
  <si>
    <t>the salaries of PR Manager per month</t>
  </si>
  <si>
    <t>Software Expense per year</t>
  </si>
  <si>
    <t>#5</t>
  </si>
  <si>
    <t>Donations make up about 5% of the total revenue</t>
  </si>
  <si>
    <t>the salaries of 2 Quality Assurance (QA) Engineers per month</t>
  </si>
  <si>
    <t>Interest Expense</t>
  </si>
  <si>
    <t>#6</t>
  </si>
  <si>
    <t>Agreement with investors to 20% income share after positive incomes</t>
  </si>
  <si>
    <t>the salary of the Product Manager per month</t>
  </si>
  <si>
    <t>total expense per year</t>
  </si>
  <si>
    <t>the salary of the Marketing Director per month</t>
  </si>
  <si>
    <t>the salary of the Customer Support Representative per month</t>
  </si>
  <si>
    <t>net income per year</t>
  </si>
  <si>
    <t>Rent in Astana per month</t>
  </si>
  <si>
    <t>income after KZ taxes (20%) per year</t>
  </si>
  <si>
    <t>Cloud services per year per users</t>
  </si>
  <si>
    <t>income after payed dividents(20%)</t>
  </si>
  <si>
    <t>plus 5 employees per year all earning this much per month</t>
  </si>
  <si>
    <t>Total VC investments for 3 years</t>
  </si>
  <si>
    <t>Adobe + Google Drive + Github etc. per year</t>
  </si>
  <si>
    <t>Initial Bank loan 1-2</t>
  </si>
  <si>
    <t>expected donation revenue contribution</t>
  </si>
  <si>
    <t>Rent increase rate</t>
  </si>
  <si>
    <t>Income tax</t>
  </si>
  <si>
    <t>Furniture</t>
  </si>
  <si>
    <t>Technichal equipment</t>
  </si>
  <si>
    <t xml:space="preserve">Other </t>
  </si>
  <si>
    <t>total equip</t>
  </si>
  <si>
    <t>rate of growth of equip</t>
  </si>
  <si>
    <t>assets valued period(years)</t>
  </si>
  <si>
    <t>part of income distributet to investors</t>
  </si>
  <si>
    <t>part of available cash assets spend on Research&amp;Dev</t>
  </si>
  <si>
    <t>part for short term investment</t>
  </si>
  <si>
    <t>deffered tax coef</t>
  </si>
  <si>
    <t>Assets</t>
  </si>
  <si>
    <t>Current Assets</t>
  </si>
  <si>
    <t>Cash and cash equivalents</t>
  </si>
  <si>
    <t>Accounts Receivable</t>
  </si>
  <si>
    <t>Short-term investments</t>
  </si>
  <si>
    <t>Total current assets</t>
  </si>
  <si>
    <t>Non-Current Assets</t>
  </si>
  <si>
    <t>Property, plant, and equipment</t>
  </si>
  <si>
    <t>(Less accumulated depreciation)</t>
  </si>
  <si>
    <t>Long-term investments</t>
  </si>
  <si>
    <t>Total Non-Current Assets</t>
  </si>
  <si>
    <t>Total Assets</t>
  </si>
  <si>
    <t>Liabilities and Owner's Equity</t>
  </si>
  <si>
    <t>Current Liabilities</t>
  </si>
  <si>
    <t>Short-term loans</t>
  </si>
  <si>
    <t>Income taxes payable</t>
  </si>
  <si>
    <t>Accrued salaries and wages</t>
  </si>
  <si>
    <t>Current portion of long-term debt</t>
  </si>
  <si>
    <t>Total current liabilities</t>
  </si>
  <si>
    <t>Non-current Liabilities</t>
  </si>
  <si>
    <t>Long-term debt</t>
  </si>
  <si>
    <t>Deferred income tax</t>
  </si>
  <si>
    <t>Other</t>
  </si>
  <si>
    <t>Total long-term liabilities</t>
  </si>
  <si>
    <t>Total liabilities</t>
  </si>
  <si>
    <t>Equity</t>
  </si>
  <si>
    <t>Shareholders' equity</t>
  </si>
  <si>
    <t>Retained earnings</t>
  </si>
  <si>
    <t>Total equity</t>
  </si>
  <si>
    <t>Total Liabilities and Owner's Equity</t>
  </si>
  <si>
    <t>Revenue</t>
  </si>
  <si>
    <t>Subscription</t>
  </si>
  <si>
    <t>Advertisement</t>
  </si>
  <si>
    <t>Donations</t>
  </si>
  <si>
    <t>Total Revenues</t>
  </si>
  <si>
    <t>Expenses</t>
  </si>
  <si>
    <t>Depreciation</t>
  </si>
  <si>
    <t>Interest expense</t>
  </si>
  <si>
    <t>Rent</t>
  </si>
  <si>
    <t>Utilites</t>
  </si>
  <si>
    <t>Salaries and wages</t>
  </si>
  <si>
    <t>Software</t>
  </si>
  <si>
    <t>Web hosting and domains</t>
  </si>
  <si>
    <t>Platform Comission</t>
  </si>
  <si>
    <t>Research and Development</t>
  </si>
  <si>
    <t>Total Expenses</t>
  </si>
  <si>
    <t>Net Income Before Taxes</t>
  </si>
  <si>
    <t>Income tax expense</t>
  </si>
  <si>
    <t>Investors dividents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</si>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</sst>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&quot;$&quot;"/>
    <numFmt numFmtId="165" formatCode="&quot;$&quot;#,##0"/>
    <numFmt numFmtId="166" formatCode="#,##0&quot;$&quot;"/>
    <numFmt numFmtId="167" formatCode="&quot;$&quot;#,##0.00"/>
    <numFmt numFmtId="168" formatCode="_(&quot;$&quot;* #,##0.00_);_(&quot;$&quot;* \(#,##0.00\);_(&quot;$&quot;* &quot;-&quot;??_);_(@_)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</font>
    <font/>
    <font>
      <b/>
      <i/>
      <color theme="1"/>
      <name val="Arial"/>
    </font>
    <font>
      <i/>
      <color theme="1"/>
      <name val="Arial"/>
    </font>
    <font>
      <sz val="10.0"/>
      <color theme="1"/>
      <name val="Arial"/>
      <scheme val="minor"/>
    </font>
    <font>
      <b/>
      <i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1C232"/>
        <bgColor rgb="FFF1C232"/>
      </patternFill>
    </fill>
    <fill>
      <patternFill patternType="solid">
        <fgColor rgb="FFD9B845"/>
        <bgColor rgb="FFD9B845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4" fillId="0" fontId="1" numFmtId="0" xfId="0" applyAlignment="1" applyBorder="1" applyFont="1">
      <alignment horizontal="center" vertical="bottom"/>
    </xf>
    <xf borderId="5" fillId="0" fontId="1" numFmtId="164" xfId="0" applyAlignment="1" applyBorder="1" applyFont="1" applyNumberFormat="1">
      <alignment horizontal="center" vertical="bottom"/>
    </xf>
    <xf borderId="5" fillId="2" fontId="1" numFmtId="0" xfId="0" applyAlignment="1" applyBorder="1" applyFont="1">
      <alignment horizontal="center" vertical="bottom"/>
    </xf>
    <xf borderId="5" fillId="2" fontId="1" numFmtId="1" xfId="0" applyAlignment="1" applyBorder="1" applyFont="1" applyNumberFormat="1">
      <alignment horizontal="center" vertical="bottom"/>
    </xf>
    <xf borderId="5" fillId="0" fontId="1" numFmtId="3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5" fillId="3" fontId="1" numFmtId="9" xfId="0" applyAlignment="1" applyBorder="1" applyFont="1" applyNumberFormat="1">
      <alignment horizontal="center" vertical="bottom"/>
    </xf>
    <xf borderId="5" fillId="0" fontId="1" numFmtId="166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165" xfId="0" applyAlignment="1" applyBorder="1" applyFont="1" applyNumberFormat="1">
      <alignment vertical="bottom"/>
    </xf>
    <xf borderId="5" fillId="0" fontId="1" numFmtId="9" xfId="0" applyAlignment="1" applyBorder="1" applyFont="1" applyNumberForma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5" fillId="4" fontId="1" numFmtId="0" xfId="0" applyAlignment="1" applyBorder="1" applyFont="1">
      <alignment horizontal="center" vertical="bottom"/>
    </xf>
    <xf borderId="5" fillId="4" fontId="1" numFmtId="167" xfId="0" applyAlignment="1" applyBorder="1" applyFont="1" applyNumberFormat="1">
      <alignment horizontal="center" vertical="bottom"/>
    </xf>
    <xf borderId="5" fillId="0" fontId="1" numFmtId="167" xfId="0" applyAlignment="1" applyBorder="1" applyFont="1" applyNumberFormat="1">
      <alignment horizontal="center" vertical="bottom"/>
    </xf>
    <xf borderId="0" fillId="5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vertical="bottom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0" fillId="0" fontId="1" numFmtId="168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1" xfId="0" applyAlignment="1" applyFont="1" applyNumberFormat="1">
      <alignment vertical="bottom"/>
    </xf>
    <xf borderId="5" fillId="3" fontId="1" numFmtId="165" xfId="0" applyAlignment="1" applyBorder="1" applyFont="1" applyNumberFormat="1">
      <alignment horizontal="center" readingOrder="0" vertical="bottom"/>
    </xf>
    <xf borderId="5" fillId="4" fontId="1" numFmtId="165" xfId="0" applyAlignment="1" applyBorder="1" applyFont="1" applyNumberFormat="1">
      <alignment horizontal="center" vertical="bottom"/>
    </xf>
    <xf borderId="0" fillId="4" fontId="1" numFmtId="165" xfId="0" applyAlignment="1" applyFont="1" applyNumberFormat="1">
      <alignment horizontal="center" vertical="bottom"/>
    </xf>
    <xf borderId="0" fillId="4" fontId="1" numFmtId="0" xfId="0" applyAlignment="1" applyFont="1">
      <alignment readingOrder="0" vertical="bottom"/>
    </xf>
    <xf borderId="0" fillId="5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5" fillId="3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5" fillId="0" fontId="1" numFmtId="9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6" fillId="2" fontId="4" numFmtId="0" xfId="0" applyAlignment="1" applyBorder="1" applyFont="1">
      <alignment horizontal="center" shrinkToFit="0" vertical="bottom" wrapText="1"/>
    </xf>
    <xf borderId="2" fillId="0" fontId="5" numFmtId="0" xfId="0" applyBorder="1" applyFont="1"/>
    <xf borderId="2" fillId="2" fontId="4" numFmtId="0" xfId="0" applyAlignment="1" applyBorder="1" applyFont="1">
      <alignment horizontal="center" shrinkToFit="0" vertical="bottom" wrapText="1"/>
    </xf>
    <xf borderId="7" fillId="6" fontId="6" numFmtId="0" xfId="0" applyAlignment="1" applyBorder="1" applyFill="1" applyFont="1">
      <alignment shrinkToFit="0" vertical="bottom" wrapText="1"/>
    </xf>
    <xf borderId="8" fillId="0" fontId="5" numFmtId="0" xfId="0" applyBorder="1" applyFont="1"/>
    <xf borderId="5" fillId="0" fontId="5" numFmtId="0" xfId="0" applyBorder="1" applyFont="1"/>
    <xf borderId="5" fillId="0" fontId="1" numFmtId="0" xfId="0" applyAlignment="1" applyBorder="1" applyFont="1">
      <alignment shrinkToFit="0" vertical="bottom" wrapText="1"/>
    </xf>
    <xf borderId="5" fillId="0" fontId="1" numFmtId="167" xfId="0" applyAlignment="1" applyBorder="1" applyFont="1" applyNumberFormat="1">
      <alignment horizontal="right" shrinkToFit="0" vertical="bottom" wrapText="1"/>
    </xf>
    <xf borderId="5" fillId="0" fontId="1" numFmtId="167" xfId="0" applyAlignment="1" applyBorder="1" applyFont="1" applyNumberFormat="1">
      <alignment horizontal="right" readingOrder="0" shrinkToFit="0" vertical="bottom" wrapText="1"/>
    </xf>
    <xf borderId="5" fillId="0" fontId="1" numFmtId="167" xfId="0" applyAlignment="1" applyBorder="1" applyFont="1" applyNumberFormat="1">
      <alignment readingOrder="0" vertical="bottom"/>
    </xf>
    <xf borderId="7" fillId="0" fontId="7" numFmtId="0" xfId="0" applyAlignment="1" applyBorder="1" applyFont="1">
      <alignment shrinkToFit="0" vertical="bottom" wrapText="1"/>
    </xf>
    <xf borderId="5" fillId="0" fontId="7" numFmtId="167" xfId="0" applyAlignment="1" applyBorder="1" applyFont="1" applyNumberFormat="1">
      <alignment horizontal="right" shrinkToFit="0" vertical="bottom" wrapText="1"/>
    </xf>
    <xf borderId="9" fillId="6" fontId="6" numFmtId="0" xfId="0" applyAlignment="1" applyBorder="1" applyFont="1">
      <alignment shrinkToFit="0" vertical="bottom" wrapText="1"/>
    </xf>
    <xf borderId="3" fillId="0" fontId="5" numFmtId="0" xfId="0" applyBorder="1" applyFont="1"/>
    <xf borderId="5" fillId="0" fontId="1" numFmtId="0" xfId="0" applyAlignment="1" applyBorder="1" applyFont="1">
      <alignment readingOrder="0" shrinkToFit="0" vertical="bottom" wrapText="1"/>
    </xf>
    <xf borderId="7" fillId="7" fontId="4" numFmtId="0" xfId="0" applyAlignment="1" applyBorder="1" applyFill="1" applyFont="1">
      <alignment shrinkToFit="0" vertical="bottom" wrapText="1"/>
    </xf>
    <xf borderId="5" fillId="7" fontId="1" numFmtId="167" xfId="0" applyAlignment="1" applyBorder="1" applyFont="1" applyNumberFormat="1">
      <alignment horizontal="right" shrinkToFit="0" vertical="bottom" wrapText="1"/>
    </xf>
    <xf borderId="8" fillId="0" fontId="1" numFmtId="0" xfId="0" applyAlignment="1" applyBorder="1" applyFont="1">
      <alignment vertical="bottom"/>
    </xf>
    <xf borderId="7" fillId="2" fontId="4" numFmtId="0" xfId="0" applyAlignment="1" applyBorder="1" applyFont="1">
      <alignment shrinkToFit="0" vertical="bottom" wrapText="1"/>
    </xf>
    <xf borderId="5" fillId="2" fontId="1" numFmtId="0" xfId="0" applyAlignment="1" applyBorder="1" applyFont="1">
      <alignment vertical="bottom"/>
    </xf>
    <xf borderId="5" fillId="0" fontId="1" numFmtId="167" xfId="0" applyAlignment="1" applyBorder="1" applyFont="1" applyNumberFormat="1">
      <alignment horizontal="right" vertical="bottom"/>
    </xf>
    <xf borderId="1" fillId="0" fontId="0" numFmtId="167" xfId="0" applyAlignment="1" applyBorder="1" applyFont="1" applyNumberFormat="1">
      <alignment horizontal="right" readingOrder="0"/>
    </xf>
    <xf borderId="1" fillId="0" fontId="8" numFmtId="167" xfId="0" applyBorder="1" applyFont="1" applyNumberFormat="1"/>
    <xf borderId="5" fillId="0" fontId="1" numFmtId="167" xfId="0" applyAlignment="1" applyBorder="1" applyFont="1" applyNumberFormat="1">
      <alignment vertical="bottom"/>
    </xf>
    <xf borderId="9" fillId="6" fontId="6" numFmtId="167" xfId="0" applyAlignment="1" applyBorder="1" applyFont="1" applyNumberFormat="1">
      <alignment readingOrder="0" shrinkToFit="0" vertical="bottom" wrapText="1"/>
    </xf>
    <xf borderId="10" fillId="0" fontId="7" numFmtId="0" xfId="0" applyAlignment="1" applyBorder="1" applyFont="1">
      <alignment shrinkToFit="0" vertical="bottom" wrapText="1"/>
    </xf>
    <xf borderId="11" fillId="0" fontId="5" numFmtId="0" xfId="0" applyBorder="1" applyFont="1"/>
    <xf borderId="3" fillId="0" fontId="1" numFmtId="167" xfId="0" applyAlignment="1" applyBorder="1" applyFont="1" applyNumberFormat="1">
      <alignment vertical="bottom"/>
    </xf>
    <xf borderId="6" fillId="0" fontId="7" numFmtId="0" xfId="0" applyAlignment="1" applyBorder="1" applyFont="1">
      <alignment readingOrder="0" shrinkToFit="0" vertical="bottom" wrapText="1"/>
    </xf>
    <xf borderId="1" fillId="0" fontId="1" numFmtId="167" xfId="0" applyAlignment="1" applyBorder="1" applyFont="1" applyNumberFormat="1">
      <alignment vertical="bottom"/>
    </xf>
    <xf borderId="7" fillId="7" fontId="9" numFmtId="0" xfId="0" applyAlignment="1" applyBorder="1" applyFont="1">
      <alignment shrinkToFit="0" vertical="bottom" wrapText="1"/>
    </xf>
    <xf borderId="5" fillId="7" fontId="1" numFmtId="167" xfId="0" applyAlignment="1" applyBorder="1" applyFont="1" applyNumberFormat="1">
      <alignment vertical="bottom"/>
    </xf>
    <xf borderId="10" fillId="2" fontId="4" numFmtId="0" xfId="0" applyAlignment="1" applyBorder="1" applyFont="1">
      <alignment vertical="bottom"/>
    </xf>
    <xf borderId="2" fillId="2" fontId="4" numFmtId="0" xfId="0" applyAlignment="1" applyBorder="1" applyFont="1">
      <alignment horizontal="right" vertical="bottom"/>
    </xf>
    <xf borderId="5" fillId="0" fontId="1" numFmtId="165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readingOrder="0" vertical="bottom"/>
    </xf>
    <xf borderId="7" fillId="6" fontId="7" numFmtId="0" xfId="0" applyAlignment="1" applyBorder="1" applyFont="1">
      <alignment vertical="bottom"/>
    </xf>
    <xf borderId="5" fillId="6" fontId="1" numFmtId="165" xfId="0" applyAlignment="1" applyBorder="1" applyFont="1" applyNumberFormat="1">
      <alignment horizontal="right" vertical="bottom"/>
    </xf>
    <xf borderId="9" fillId="2" fontId="4" numFmtId="0" xfId="0" applyAlignment="1" applyBorder="1" applyFont="1">
      <alignment vertical="bottom"/>
    </xf>
    <xf borderId="5" fillId="2" fontId="4" numFmtId="0" xfId="0" applyAlignment="1" applyBorder="1" applyFont="1">
      <alignment horizontal="right" vertical="bottom"/>
    </xf>
    <xf borderId="7" fillId="6" fontId="7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7" fillId="7" fontId="9" numFmtId="0" xfId="0" applyAlignment="1" applyBorder="1" applyFont="1">
      <alignment vertical="bottom"/>
    </xf>
    <xf borderId="5" fillId="7" fontId="1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33.13"/>
    <col customWidth="1" min="5" max="5" width="33.5"/>
    <col customWidth="1" min="6" max="6" width="16.63"/>
    <col customWidth="1" min="14" max="14" width="55.75"/>
  </cols>
  <sheetData>
    <row r="1">
      <c r="A1" s="1" t="s">
        <v>0</v>
      </c>
      <c r="B1" s="2" t="s">
        <v>1</v>
      </c>
      <c r="C1" s="3"/>
      <c r="D1" s="4"/>
      <c r="E1" s="5"/>
      <c r="F1" s="2">
        <v>2023.0</v>
      </c>
      <c r="G1" s="2">
        <v>2024.0</v>
      </c>
      <c r="H1" s="2">
        <v>2025.0</v>
      </c>
      <c r="I1" s="2">
        <v>2026.0</v>
      </c>
      <c r="J1" s="2">
        <v>2027.0</v>
      </c>
      <c r="K1" s="2">
        <v>2028.0</v>
      </c>
      <c r="L1" s="6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2</v>
      </c>
      <c r="B2" s="9">
        <v>3.99</v>
      </c>
      <c r="C2" s="3"/>
      <c r="D2" s="4"/>
      <c r="E2" s="10" t="s">
        <v>3</v>
      </c>
      <c r="F2" s="11">
        <v>15000.0</v>
      </c>
      <c r="G2" s="11">
        <f>5.45*F2</f>
        <v>81750</v>
      </c>
      <c r="H2" s="11">
        <f>3.145*G2</f>
        <v>257103.75</v>
      </c>
      <c r="I2" s="11">
        <f>2.15*H2</f>
        <v>552773.0625</v>
      </c>
      <c r="J2" s="11">
        <f t="shared" ref="J2:K2" si="1">1.75*I2</f>
        <v>967352.8594</v>
      </c>
      <c r="K2" s="11">
        <f t="shared" si="1"/>
        <v>1692867.504</v>
      </c>
      <c r="L2" s="6"/>
      <c r="M2" s="7"/>
      <c r="N2" s="7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4</v>
      </c>
      <c r="B3" s="12">
        <f>1800000000*0.5/3</f>
        <v>300000000</v>
      </c>
      <c r="C3" s="3"/>
      <c r="D3" s="4"/>
      <c r="E3" s="13" t="s">
        <v>5</v>
      </c>
      <c r="F3" s="14">
        <f t="shared" ref="F3:K3" si="2"> $B9*F2*$B10*30*12/1000</f>
        <v>16200</v>
      </c>
      <c r="G3" s="14">
        <f t="shared" si="2"/>
        <v>88290</v>
      </c>
      <c r="H3" s="14">
        <f t="shared" si="2"/>
        <v>277672.05</v>
      </c>
      <c r="I3" s="14">
        <f t="shared" si="2"/>
        <v>596994.9075</v>
      </c>
      <c r="J3" s="14">
        <f t="shared" si="2"/>
        <v>1044741.088</v>
      </c>
      <c r="K3" s="14">
        <f t="shared" si="2"/>
        <v>1828296.904</v>
      </c>
      <c r="L3" s="6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6</v>
      </c>
      <c r="B4" s="12">
        <f>2380000000*0.9/3</f>
        <v>714000000</v>
      </c>
      <c r="C4" s="3"/>
      <c r="D4" s="4"/>
      <c r="E4" s="13" t="s">
        <v>7</v>
      </c>
      <c r="F4" s="14">
        <f t="shared" ref="F4:K4" si="3">F2*$B$5*12*$B$2</f>
        <v>28728</v>
      </c>
      <c r="G4" s="14">
        <f t="shared" si="3"/>
        <v>156567.6</v>
      </c>
      <c r="H4" s="14">
        <f t="shared" si="3"/>
        <v>492405.102</v>
      </c>
      <c r="I4" s="14">
        <f t="shared" si="3"/>
        <v>1058670.969</v>
      </c>
      <c r="J4" s="14">
        <f t="shared" si="3"/>
        <v>1852674.196</v>
      </c>
      <c r="K4" s="14">
        <f t="shared" si="3"/>
        <v>3242179.843</v>
      </c>
      <c r="L4" s="6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5" t="s">
        <v>8</v>
      </c>
      <c r="B5" s="16">
        <v>0.04</v>
      </c>
      <c r="C5" s="3"/>
      <c r="D5" s="4"/>
      <c r="E5" s="13" t="s">
        <v>9</v>
      </c>
      <c r="F5" s="14">
        <f t="shared" ref="F5:K5" si="4">(F3+F4)*$B27/(100%-$B27)</f>
        <v>2364.631579</v>
      </c>
      <c r="G5" s="14">
        <f t="shared" si="4"/>
        <v>12887.24211</v>
      </c>
      <c r="H5" s="14">
        <f t="shared" si="4"/>
        <v>40530.37642</v>
      </c>
      <c r="I5" s="14">
        <f t="shared" si="4"/>
        <v>87140.30931</v>
      </c>
      <c r="J5" s="14">
        <f t="shared" si="4"/>
        <v>152495.5413</v>
      </c>
      <c r="K5" s="14">
        <f t="shared" si="4"/>
        <v>266867.1972</v>
      </c>
      <c r="L5" s="6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 t="s">
        <v>10</v>
      </c>
      <c r="B6" s="17">
        <f>B2*(B3+B4)*B5</f>
        <v>161834400</v>
      </c>
      <c r="C6" s="3"/>
      <c r="D6" s="4"/>
      <c r="E6" s="18"/>
      <c r="F6" s="19"/>
      <c r="G6" s="19"/>
      <c r="H6" s="19"/>
      <c r="I6" s="19"/>
      <c r="J6" s="19"/>
      <c r="K6" s="19"/>
      <c r="L6" s="6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 t="s">
        <v>11</v>
      </c>
      <c r="B7" s="20">
        <v>0.3</v>
      </c>
      <c r="C7" s="3"/>
      <c r="D7" s="4"/>
      <c r="E7" s="13" t="s">
        <v>12</v>
      </c>
      <c r="F7" s="14">
        <f t="shared" ref="F7:K7" si="5">SUM(F3:F5)</f>
        <v>47292.63158</v>
      </c>
      <c r="G7" s="14">
        <f t="shared" si="5"/>
        <v>257744.8421</v>
      </c>
      <c r="H7" s="14">
        <f t="shared" si="5"/>
        <v>810607.5284</v>
      </c>
      <c r="I7" s="14">
        <f t="shared" si="5"/>
        <v>1742806.186</v>
      </c>
      <c r="J7" s="14">
        <f t="shared" si="5"/>
        <v>3049910.826</v>
      </c>
      <c r="K7" s="14">
        <f t="shared" si="5"/>
        <v>5337343.945</v>
      </c>
      <c r="L7" s="6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13</v>
      </c>
      <c r="B8" s="17">
        <f>B6*(1-B7)</f>
        <v>113284080</v>
      </c>
      <c r="C8" s="3"/>
      <c r="D8" s="4"/>
      <c r="E8" s="13" t="s">
        <v>14</v>
      </c>
      <c r="F8" s="14">
        <f t="shared" ref="F8:K8" si="6">F7*(1-$B$7)</f>
        <v>33104.84211</v>
      </c>
      <c r="G8" s="14">
        <f t="shared" si="6"/>
        <v>180421.3895</v>
      </c>
      <c r="H8" s="14">
        <f t="shared" si="6"/>
        <v>567425.2699</v>
      </c>
      <c r="I8" s="14">
        <f t="shared" si="6"/>
        <v>1219964.33</v>
      </c>
      <c r="J8" s="14">
        <f t="shared" si="6"/>
        <v>2134937.578</v>
      </c>
      <c r="K8" s="14">
        <f t="shared" si="6"/>
        <v>3736140.761</v>
      </c>
      <c r="L8" s="6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1" t="s">
        <v>15</v>
      </c>
      <c r="B9" s="22">
        <v>2.0</v>
      </c>
      <c r="C9" s="3"/>
      <c r="D9" s="3"/>
      <c r="E9" s="18"/>
      <c r="F9" s="19"/>
      <c r="G9" s="19"/>
      <c r="H9" s="19"/>
      <c r="I9" s="19"/>
      <c r="J9" s="19"/>
      <c r="K9" s="19"/>
      <c r="L9" s="6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1" t="s">
        <v>16</v>
      </c>
      <c r="B10" s="23">
        <v>1.5</v>
      </c>
      <c r="C10" s="3"/>
      <c r="D10" s="4"/>
      <c r="E10" s="13" t="s">
        <v>17</v>
      </c>
      <c r="F10" s="14">
        <f>B33</f>
        <v>14000</v>
      </c>
      <c r="G10" s="14">
        <f>F10*$B34-F10</f>
        <v>2100</v>
      </c>
      <c r="H10" s="14">
        <f t="shared" ref="H10:K10" si="7">G10*$B34</f>
        <v>2415</v>
      </c>
      <c r="I10" s="14">
        <f t="shared" si="7"/>
        <v>2777.25</v>
      </c>
      <c r="J10" s="14">
        <f t="shared" si="7"/>
        <v>3193.8375</v>
      </c>
      <c r="K10" s="14">
        <f t="shared" si="7"/>
        <v>3672.913125</v>
      </c>
      <c r="L10" s="6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 t="s">
        <v>18</v>
      </c>
      <c r="B11" s="24">
        <v>3000.0</v>
      </c>
      <c r="C11" s="3"/>
      <c r="D11" s="4"/>
      <c r="E11" s="13" t="s">
        <v>19</v>
      </c>
      <c r="F11" s="14">
        <f>sum(B11:B20)*12</f>
        <v>184800</v>
      </c>
      <c r="G11" s="14">
        <f>1.1*F11+B23*12</f>
        <v>263280</v>
      </c>
      <c r="H11" s="14">
        <f>1.1*G11+C23*12*2</f>
        <v>289608</v>
      </c>
      <c r="I11" s="14">
        <f>1.1*H11+D23*12*3</f>
        <v>318568.8</v>
      </c>
      <c r="J11" s="14">
        <f t="shared" ref="J11:K11" si="8">1.1*I11+E23*12*4</f>
        <v>350425.68</v>
      </c>
      <c r="K11" s="14">
        <f t="shared" si="8"/>
        <v>385468.248</v>
      </c>
      <c r="L11" s="6"/>
      <c r="M11" s="7" t="s">
        <v>20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 t="s">
        <v>21</v>
      </c>
      <c r="B12" s="24">
        <v>2000.0</v>
      </c>
      <c r="C12" s="3"/>
      <c r="D12" s="4"/>
      <c r="E12" s="13" t="s">
        <v>22</v>
      </c>
      <c r="F12" s="14">
        <f t="shared" ref="F12:K12" si="9">$B$22*F2</f>
        <v>1050</v>
      </c>
      <c r="G12" s="14">
        <f t="shared" si="9"/>
        <v>5722.5</v>
      </c>
      <c r="H12" s="14">
        <f t="shared" si="9"/>
        <v>17997.2625</v>
      </c>
      <c r="I12" s="14">
        <f t="shared" si="9"/>
        <v>38694.11438</v>
      </c>
      <c r="J12" s="14">
        <f t="shared" si="9"/>
        <v>67714.70016</v>
      </c>
      <c r="K12" s="14">
        <f t="shared" si="9"/>
        <v>118500.7253</v>
      </c>
      <c r="L12" s="6"/>
      <c r="M12" s="7" t="s">
        <v>23</v>
      </c>
      <c r="N12" s="25" t="s">
        <v>24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25</v>
      </c>
      <c r="B13" s="24">
        <v>1200.0</v>
      </c>
      <c r="C13" s="3"/>
      <c r="D13" s="4"/>
      <c r="E13" s="13" t="s">
        <v>26</v>
      </c>
      <c r="F13" s="14">
        <f>B21*12</f>
        <v>24000</v>
      </c>
      <c r="G13" s="14">
        <f t="shared" ref="G13:H13" si="10">F13*1.05</f>
        <v>25200</v>
      </c>
      <c r="H13" s="14">
        <f t="shared" si="10"/>
        <v>26460</v>
      </c>
      <c r="I13" s="14">
        <f>H13*1.05+30000</f>
        <v>57783</v>
      </c>
      <c r="J13" s="14">
        <f t="shared" ref="J13:K13" si="11">I13*1.05</f>
        <v>60672.15</v>
      </c>
      <c r="K13" s="14">
        <f t="shared" si="11"/>
        <v>63705.7575</v>
      </c>
      <c r="L13" s="6"/>
      <c r="M13" s="7" t="s">
        <v>27</v>
      </c>
      <c r="N13" s="7" t="s">
        <v>28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 t="s">
        <v>29</v>
      </c>
      <c r="B14" s="24">
        <v>2000.0</v>
      </c>
      <c r="C14" s="3"/>
      <c r="D14" s="4"/>
      <c r="E14" s="13" t="s">
        <v>30</v>
      </c>
      <c r="F14" s="14">
        <v>1000.0</v>
      </c>
      <c r="G14" s="14">
        <f t="shared" ref="G14:K14" si="12">1.2*F14</f>
        <v>1200</v>
      </c>
      <c r="H14" s="14">
        <f t="shared" si="12"/>
        <v>1440</v>
      </c>
      <c r="I14" s="14">
        <f t="shared" si="12"/>
        <v>1728</v>
      </c>
      <c r="J14" s="14">
        <f t="shared" si="12"/>
        <v>2073.6</v>
      </c>
      <c r="K14" s="14">
        <f t="shared" si="12"/>
        <v>2488.32</v>
      </c>
      <c r="L14" s="6"/>
      <c r="M14" s="7" t="s">
        <v>31</v>
      </c>
      <c r="N14" s="7" t="s">
        <v>32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 t="s">
        <v>33</v>
      </c>
      <c r="B15" s="24">
        <v>750.0</v>
      </c>
      <c r="C15" s="3"/>
      <c r="D15" s="4"/>
      <c r="E15" s="13" t="s">
        <v>34</v>
      </c>
      <c r="F15" s="14">
        <v>50000.0</v>
      </c>
      <c r="G15" s="14">
        <v>50000.0</v>
      </c>
      <c r="H15" s="14">
        <f t="shared" ref="H15:K15" si="13">0.1*H8</f>
        <v>56742.52699</v>
      </c>
      <c r="I15" s="14">
        <f t="shared" si="13"/>
        <v>121996.433</v>
      </c>
      <c r="J15" s="14">
        <f t="shared" si="13"/>
        <v>213493.7578</v>
      </c>
      <c r="K15" s="14">
        <f t="shared" si="13"/>
        <v>373614.0761</v>
      </c>
      <c r="L15" s="6"/>
      <c r="M15" s="7" t="s">
        <v>35</v>
      </c>
      <c r="N15" s="7" t="s">
        <v>36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37</v>
      </c>
      <c r="B16" s="24">
        <v>2100.0</v>
      </c>
      <c r="C16" s="3"/>
      <c r="D16" s="4"/>
      <c r="E16" s="13" t="s">
        <v>38</v>
      </c>
      <c r="F16" s="14">
        <f>B25</f>
        <v>8000</v>
      </c>
      <c r="G16" s="14">
        <f t="shared" ref="G16:K16" si="14">F16*1.1</f>
        <v>8800</v>
      </c>
      <c r="H16" s="14">
        <f t="shared" si="14"/>
        <v>9680</v>
      </c>
      <c r="I16" s="14">
        <f t="shared" si="14"/>
        <v>10648</v>
      </c>
      <c r="J16" s="14">
        <f t="shared" si="14"/>
        <v>11712.8</v>
      </c>
      <c r="K16" s="14">
        <f t="shared" si="14"/>
        <v>12884.08</v>
      </c>
      <c r="L16" s="6"/>
      <c r="M16" s="7" t="s">
        <v>39</v>
      </c>
      <c r="N16" s="7" t="s">
        <v>40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 t="s">
        <v>41</v>
      </c>
      <c r="B17" s="24">
        <v>1400.0</v>
      </c>
      <c r="C17" s="3"/>
      <c r="D17" s="4"/>
      <c r="E17" s="13" t="s">
        <v>42</v>
      </c>
      <c r="F17" s="14">
        <f> B26*0.15</f>
        <v>22500</v>
      </c>
      <c r="G17" s="14">
        <f>F17+C26*0.15</f>
        <v>52500</v>
      </c>
      <c r="H17" s="14">
        <f t="shared" ref="H17:K17" si="15">$G17</f>
        <v>52500</v>
      </c>
      <c r="I17" s="14">
        <f t="shared" si="15"/>
        <v>52500</v>
      </c>
      <c r="J17" s="14">
        <f t="shared" si="15"/>
        <v>52500</v>
      </c>
      <c r="K17" s="14">
        <f t="shared" si="15"/>
        <v>52500</v>
      </c>
      <c r="L17" s="6"/>
      <c r="M17" s="26" t="s">
        <v>43</v>
      </c>
      <c r="N17" s="26" t="s">
        <v>44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 t="s">
        <v>45</v>
      </c>
      <c r="B18" s="24">
        <v>1200.0</v>
      </c>
      <c r="C18" s="3"/>
      <c r="D18" s="4"/>
      <c r="E18" s="13" t="s">
        <v>46</v>
      </c>
      <c r="F18" s="14">
        <f t="shared" ref="F18:G18" si="16">sum(F11:F16)</f>
        <v>268850</v>
      </c>
      <c r="G18" s="14">
        <f t="shared" si="16"/>
        <v>354202.5</v>
      </c>
      <c r="H18" s="14">
        <f>sum(H11:H17)</f>
        <v>454427.7895</v>
      </c>
      <c r="I18" s="14">
        <f t="shared" ref="I18:K18" si="17">sum(I11:I16)</f>
        <v>549418.3474</v>
      </c>
      <c r="J18" s="14">
        <f t="shared" si="17"/>
        <v>706092.688</v>
      </c>
      <c r="K18" s="14">
        <f t="shared" si="17"/>
        <v>956661.2069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 t="s">
        <v>47</v>
      </c>
      <c r="B19" s="24">
        <v>1400.0</v>
      </c>
      <c r="C19" s="3"/>
      <c r="D19" s="4"/>
      <c r="E19" s="27"/>
      <c r="F19" s="19"/>
      <c r="G19" s="19"/>
      <c r="H19" s="19"/>
      <c r="I19" s="19"/>
      <c r="J19" s="19"/>
      <c r="K19" s="1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48</v>
      </c>
      <c r="B20" s="24">
        <v>350.0</v>
      </c>
      <c r="C20" s="3"/>
      <c r="D20" s="4"/>
      <c r="E20" s="13" t="s">
        <v>49</v>
      </c>
      <c r="F20" s="14">
        <f t="shared" ref="F20:K20" si="18">F8-F18</f>
        <v>-235745.1579</v>
      </c>
      <c r="G20" s="14">
        <f t="shared" si="18"/>
        <v>-173781.1105</v>
      </c>
      <c r="H20" s="14">
        <f t="shared" si="18"/>
        <v>112997.4804</v>
      </c>
      <c r="I20" s="14">
        <f t="shared" si="18"/>
        <v>670545.9829</v>
      </c>
      <c r="J20" s="14">
        <f t="shared" si="18"/>
        <v>1428844.89</v>
      </c>
      <c r="K20" s="14">
        <f t="shared" si="18"/>
        <v>2779479.555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 t="s">
        <v>50</v>
      </c>
      <c r="B21" s="24">
        <v>2000.0</v>
      </c>
      <c r="C21" s="3"/>
      <c r="D21" s="3"/>
      <c r="E21" s="28" t="s">
        <v>51</v>
      </c>
      <c r="F21" s="29">
        <f t="shared" ref="F21:K21" si="19">IF(F20&lt;0, F20, F20*0.8 )</f>
        <v>-235745.1579</v>
      </c>
      <c r="G21" s="29">
        <f t="shared" si="19"/>
        <v>-173781.1105</v>
      </c>
      <c r="H21" s="29">
        <f t="shared" si="19"/>
        <v>90397.98432</v>
      </c>
      <c r="I21" s="29">
        <f t="shared" si="19"/>
        <v>536436.7863</v>
      </c>
      <c r="J21" s="29">
        <f t="shared" si="19"/>
        <v>1143075.912</v>
      </c>
      <c r="K21" s="29">
        <f t="shared" si="19"/>
        <v>2223583.644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 t="s">
        <v>52</v>
      </c>
      <c r="B22" s="24">
        <v>0.07</v>
      </c>
      <c r="C22" s="3"/>
      <c r="D22" s="3"/>
      <c r="E22" s="28" t="s">
        <v>53</v>
      </c>
      <c r="F22" s="29">
        <f t="shared" ref="F22:K22" si="20">IF(F21&lt;0, F21,F21*0.8 )</f>
        <v>-235745.1579</v>
      </c>
      <c r="G22" s="29">
        <f t="shared" si="20"/>
        <v>-173781.1105</v>
      </c>
      <c r="H22" s="29">
        <f t="shared" si="20"/>
        <v>72318.38746</v>
      </c>
      <c r="I22" s="29">
        <f t="shared" si="20"/>
        <v>429149.429</v>
      </c>
      <c r="J22" s="29">
        <f t="shared" si="20"/>
        <v>914460.7296</v>
      </c>
      <c r="K22" s="29">
        <f t="shared" si="20"/>
        <v>1778866.915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0" t="s">
        <v>54</v>
      </c>
      <c r="B23" s="24">
        <v>5000.0</v>
      </c>
      <c r="C23" s="3"/>
      <c r="D23" s="3"/>
      <c r="E23" s="3"/>
      <c r="F23" s="3"/>
      <c r="G23" s="3"/>
      <c r="H23" s="3"/>
      <c r="I23" s="3"/>
      <c r="J23" s="3"/>
      <c r="K23" s="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 t="s">
        <v>55</v>
      </c>
      <c r="B24" s="14">
        <v>200000.0</v>
      </c>
      <c r="C24" s="31">
        <v>350000.0</v>
      </c>
      <c r="D24" s="31">
        <v>400000.0</v>
      </c>
      <c r="E24" s="32"/>
      <c r="F24" s="33"/>
      <c r="G24" s="3"/>
      <c r="H24" s="3"/>
      <c r="I24" s="3"/>
      <c r="J24" s="3"/>
      <c r="K24" s="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5" t="s">
        <v>56</v>
      </c>
      <c r="B25" s="34">
        <v>8000.0</v>
      </c>
      <c r="C25" s="3"/>
      <c r="D25" s="3"/>
      <c r="E25" s="32"/>
      <c r="F25" s="33"/>
      <c r="G25" s="3"/>
      <c r="H25" s="3"/>
      <c r="I25" s="3"/>
      <c r="J25" s="3"/>
      <c r="K25" s="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 t="s">
        <v>57</v>
      </c>
      <c r="B26" s="35">
        <v>150000.0</v>
      </c>
      <c r="C26" s="36">
        <v>200000.0</v>
      </c>
      <c r="D26" s="37">
        <v>300000.0</v>
      </c>
      <c r="E26" s="38">
        <v>0.0</v>
      </c>
      <c r="F26" s="39">
        <v>0.0</v>
      </c>
      <c r="G26" s="39">
        <v>0.0</v>
      </c>
      <c r="H26" s="3"/>
      <c r="I26" s="3"/>
      <c r="J26" s="3"/>
      <c r="K26" s="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 t="s">
        <v>58</v>
      </c>
      <c r="B27" s="20">
        <v>0.05</v>
      </c>
      <c r="C27" s="3"/>
      <c r="D27" s="3"/>
      <c r="E27" s="32"/>
      <c r="F27" s="3"/>
      <c r="G27" s="3"/>
      <c r="H27" s="3"/>
      <c r="I27" s="3"/>
      <c r="J27" s="3"/>
      <c r="K27" s="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 t="s">
        <v>59</v>
      </c>
      <c r="B28" s="20">
        <v>0.05</v>
      </c>
      <c r="C28" s="3"/>
      <c r="D28" s="3"/>
      <c r="E28" s="3"/>
      <c r="F28" s="3"/>
      <c r="G28" s="3"/>
      <c r="H28" s="3"/>
      <c r="I28" s="3"/>
      <c r="J28" s="3"/>
      <c r="K28" s="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 t="s">
        <v>60</v>
      </c>
      <c r="B29" s="20">
        <v>0.2</v>
      </c>
      <c r="C29" s="3"/>
      <c r="D29" s="3"/>
      <c r="E29" s="3"/>
      <c r="F29" s="3"/>
      <c r="G29" s="3"/>
      <c r="H29" s="3"/>
      <c r="I29" s="3"/>
      <c r="J29" s="3"/>
      <c r="K29" s="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 t="s">
        <v>61</v>
      </c>
      <c r="B30" s="17">
        <v>3000.0</v>
      </c>
      <c r="C30" s="3"/>
      <c r="D30" s="3"/>
      <c r="E30" s="3"/>
      <c r="F30" s="3"/>
      <c r="G30" s="3"/>
      <c r="H30" s="3"/>
      <c r="I30" s="3"/>
      <c r="J30" s="3"/>
      <c r="K30" s="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 t="s">
        <v>62</v>
      </c>
      <c r="B31" s="17">
        <v>10000.0</v>
      </c>
      <c r="C31" s="3"/>
      <c r="D31" s="3"/>
      <c r="E31" s="3"/>
      <c r="F31" s="3"/>
      <c r="G31" s="3"/>
      <c r="H31" s="3"/>
      <c r="I31" s="3"/>
      <c r="J31" s="3"/>
      <c r="K31" s="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 t="s">
        <v>63</v>
      </c>
      <c r="B32" s="17">
        <v>1000.0</v>
      </c>
      <c r="C32" s="3"/>
      <c r="D32" s="3"/>
      <c r="E32" s="3"/>
      <c r="F32" s="3"/>
      <c r="G32" s="3"/>
      <c r="H32" s="3"/>
      <c r="I32" s="3"/>
      <c r="J32" s="3"/>
      <c r="K32" s="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 t="s">
        <v>64</v>
      </c>
      <c r="B33" s="17">
        <f>SUM(B30:B32)</f>
        <v>14000</v>
      </c>
      <c r="C33" s="3"/>
      <c r="D33" s="3"/>
      <c r="E33" s="3"/>
      <c r="F33" s="3"/>
      <c r="G33" s="3"/>
      <c r="H33" s="3"/>
      <c r="I33" s="3"/>
      <c r="J33" s="3"/>
      <c r="K33" s="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5" t="s">
        <v>65</v>
      </c>
      <c r="B34" s="40">
        <v>1.15</v>
      </c>
      <c r="C34" s="3"/>
      <c r="D34" s="3"/>
      <c r="E34" s="3"/>
      <c r="F34" s="3"/>
      <c r="G34" s="3"/>
      <c r="H34" s="3"/>
      <c r="I34" s="3"/>
      <c r="J34" s="3"/>
      <c r="K34" s="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 t="s">
        <v>66</v>
      </c>
      <c r="B35" s="13">
        <v>5.0</v>
      </c>
      <c r="C35" s="3"/>
      <c r="D35" s="3"/>
      <c r="E35" s="3"/>
      <c r="F35" s="3"/>
      <c r="G35" s="3"/>
      <c r="H35" s="3"/>
      <c r="I35" s="3"/>
      <c r="J35" s="3"/>
      <c r="K35" s="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1" t="s">
        <v>67</v>
      </c>
      <c r="B36" s="20">
        <v>0.2</v>
      </c>
      <c r="C36" s="3"/>
      <c r="D36" s="3"/>
      <c r="E36" s="3"/>
      <c r="F36" s="3"/>
      <c r="G36" s="3"/>
      <c r="H36" s="3"/>
      <c r="I36" s="3"/>
      <c r="J36" s="3"/>
      <c r="K36" s="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0" t="s">
        <v>68</v>
      </c>
      <c r="B37" s="42">
        <v>0.54</v>
      </c>
      <c r="C37" s="3"/>
      <c r="D37" s="3"/>
      <c r="E37" s="3"/>
      <c r="F37" s="3"/>
      <c r="G37" s="3"/>
      <c r="H37" s="3"/>
      <c r="I37" s="3"/>
      <c r="J37" s="3"/>
      <c r="K37" s="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3" t="s">
        <v>69</v>
      </c>
      <c r="B38" s="44">
        <v>0.18</v>
      </c>
      <c r="C38" s="6"/>
      <c r="D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3" t="s">
        <v>70</v>
      </c>
      <c r="B39" s="45">
        <f>1-(RAND()/4+0.6)</f>
        <v>0.3543427587</v>
      </c>
      <c r="C39" s="6"/>
      <c r="D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5"/>
      <c r="B40" s="45"/>
      <c r="C40" s="6"/>
      <c r="D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6.5"/>
    <col customWidth="1" min="3" max="3" width="13.13"/>
    <col customWidth="1" min="4" max="4" width="13.38"/>
    <col customWidth="1" min="5" max="5" width="13.5"/>
    <col customWidth="1" min="6" max="6" width="13.75"/>
    <col customWidth="1" min="7" max="7" width="14.38"/>
    <col customWidth="1" min="8" max="8" width="14.0"/>
  </cols>
  <sheetData>
    <row r="1">
      <c r="A1" s="46" t="s">
        <v>71</v>
      </c>
      <c r="B1" s="47"/>
      <c r="C1" s="48">
        <v>2023.0</v>
      </c>
      <c r="D1" s="48">
        <v>2024.0</v>
      </c>
      <c r="E1" s="48">
        <v>2025.0</v>
      </c>
      <c r="F1" s="48">
        <v>2026.0</v>
      </c>
      <c r="G1" s="48">
        <v>2027.0</v>
      </c>
      <c r="H1" s="48">
        <v>2028.0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9" t="s">
        <v>72</v>
      </c>
      <c r="B2" s="50"/>
      <c r="C2" s="50"/>
      <c r="D2" s="50"/>
      <c r="E2" s="50"/>
      <c r="F2" s="50"/>
      <c r="G2" s="50"/>
      <c r="H2" s="5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2" t="s">
        <v>73</v>
      </c>
      <c r="C3" s="53">
        <f>(C26+C30)*(100%-Parameters!$B37-Parameters!$B38)</f>
        <v>81845.35579</v>
      </c>
      <c r="D3" s="53">
        <f>(D26+D30)*(100%-Parameters!$B37-Parameters!$B38)</f>
        <v>181972.3891</v>
      </c>
      <c r="E3" s="53">
        <f>(E26+E30)*(100%-Parameters!$B37-Parameters!$B38)</f>
        <v>325016.6153</v>
      </c>
      <c r="F3" s="53">
        <f>(F26+F30)*(100%-Parameters!$B37-Parameters!$B38)</f>
        <v>424231.1002</v>
      </c>
      <c r="G3" s="53">
        <f>(G26+G30)*(100%-Parameters!$B37-Parameters!$B38)</f>
        <v>692839.9032</v>
      </c>
      <c r="H3" s="53">
        <f>(H26+H30)*(100%-Parameters!$B37-Parameters!$B38)</f>
        <v>1141305.79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2" t="s">
        <v>74</v>
      </c>
      <c r="C4" s="54">
        <v>0.0</v>
      </c>
      <c r="D4" s="55">
        <v>0.0</v>
      </c>
      <c r="E4" s="55">
        <v>0.0</v>
      </c>
      <c r="F4" s="55">
        <v>0.0</v>
      </c>
      <c r="G4" s="55">
        <v>0.0</v>
      </c>
      <c r="H4" s="55">
        <v>0.0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8"/>
      <c r="B5" s="52" t="s">
        <v>75</v>
      </c>
      <c r="C5" s="53">
        <f>(C26+C30)*Parameters!$B38</f>
        <v>52614.87158</v>
      </c>
      <c r="D5" s="53">
        <f>(D26+D30)*Parameters!$B38</f>
        <v>116982.2501</v>
      </c>
      <c r="E5" s="53">
        <f>(E26+E30)*Parameters!$B38</f>
        <v>208939.2527</v>
      </c>
      <c r="F5" s="53">
        <f>(F26+F30)*Parameters!$B38</f>
        <v>272719.993</v>
      </c>
      <c r="G5" s="53">
        <f>(G26+G30)*Parameters!$B38</f>
        <v>445397.0806</v>
      </c>
      <c r="H5" s="53">
        <f>(H26+H30)*Parameters!$B38</f>
        <v>733696.5796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6" t="s">
        <v>76</v>
      </c>
      <c r="B6" s="51"/>
      <c r="C6" s="57">
        <f t="shared" ref="C6:H6" si="1">SUM(C3:C5)</f>
        <v>134460.2274</v>
      </c>
      <c r="D6" s="57">
        <f t="shared" si="1"/>
        <v>298954.6392</v>
      </c>
      <c r="E6" s="57">
        <f t="shared" si="1"/>
        <v>533955.868</v>
      </c>
      <c r="F6" s="57">
        <f t="shared" si="1"/>
        <v>696951.0931</v>
      </c>
      <c r="G6" s="57">
        <f t="shared" si="1"/>
        <v>1138236.984</v>
      </c>
      <c r="H6" s="57">
        <f t="shared" si="1"/>
        <v>1875002.37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8" t="s">
        <v>77</v>
      </c>
      <c r="H7" s="5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2" t="s">
        <v>78</v>
      </c>
      <c r="C8" s="53">
        <f>Parameters!B33</f>
        <v>14000</v>
      </c>
      <c r="D8" s="53">
        <f>C8+Parameters!G10</f>
        <v>16100</v>
      </c>
      <c r="E8" s="53">
        <f>D8+Parameters!H10</f>
        <v>18515</v>
      </c>
      <c r="F8" s="53">
        <f>E8+Parameters!I10</f>
        <v>21292.25</v>
      </c>
      <c r="G8" s="53">
        <f>F8+Parameters!J10</f>
        <v>24486.0875</v>
      </c>
      <c r="H8" s="53">
        <f>G8+Parameters!K10</f>
        <v>28159.00063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/>
      <c r="B9" s="52" t="s">
        <v>79</v>
      </c>
      <c r="C9" s="53">
        <f>(C8*0.2)</f>
        <v>2800</v>
      </c>
      <c r="D9" s="53">
        <f t="shared" ref="D9:H9" si="2">C9+D8*0.2</f>
        <v>6020</v>
      </c>
      <c r="E9" s="53">
        <f t="shared" si="2"/>
        <v>9723</v>
      </c>
      <c r="F9" s="53">
        <f t="shared" si="2"/>
        <v>13981.45</v>
      </c>
      <c r="G9" s="53">
        <f t="shared" si="2"/>
        <v>18878.6675</v>
      </c>
      <c r="H9" s="53">
        <f t="shared" si="2"/>
        <v>24510.46763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8"/>
      <c r="B10" s="60" t="s">
        <v>80</v>
      </c>
      <c r="C10" s="53">
        <f>(C26+C30)*Parameters!$B37</f>
        <v>157844.6147</v>
      </c>
      <c r="D10" s="53">
        <f>(D26+D30)*Parameters!$B37</f>
        <v>350946.7503</v>
      </c>
      <c r="E10" s="53">
        <f>(E26+E30)*Parameters!$B37</f>
        <v>626817.7581</v>
      </c>
      <c r="F10" s="53">
        <f>(F26+F30)*Parameters!$B37</f>
        <v>818159.9789</v>
      </c>
      <c r="G10" s="53">
        <f>(G26+G30)*Parameters!$B37</f>
        <v>1336191.242</v>
      </c>
      <c r="H10" s="53">
        <f>(H26+H30)*Parameters!$B37</f>
        <v>2201089.739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6" t="s">
        <v>81</v>
      </c>
      <c r="B11" s="51"/>
      <c r="C11" s="57">
        <f t="shared" ref="C11:H11" si="3">SUM(C8:C10)</f>
        <v>174644.6147</v>
      </c>
      <c r="D11" s="57">
        <f t="shared" si="3"/>
        <v>373066.7503</v>
      </c>
      <c r="E11" s="57">
        <f t="shared" si="3"/>
        <v>655055.7581</v>
      </c>
      <c r="F11" s="57">
        <f t="shared" si="3"/>
        <v>853433.6789</v>
      </c>
      <c r="G11" s="57">
        <f t="shared" si="3"/>
        <v>1379555.997</v>
      </c>
      <c r="H11" s="57">
        <f t="shared" si="3"/>
        <v>2253759.207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1" t="s">
        <v>82</v>
      </c>
      <c r="B12" s="51"/>
      <c r="C12" s="62">
        <f t="shared" ref="C12:H12" si="4">C6+C11</f>
        <v>309104.8421</v>
      </c>
      <c r="D12" s="62">
        <f t="shared" si="4"/>
        <v>672021.3895</v>
      </c>
      <c r="E12" s="62">
        <f t="shared" si="4"/>
        <v>1189011.626</v>
      </c>
      <c r="F12" s="62">
        <f t="shared" si="4"/>
        <v>1550384.772</v>
      </c>
      <c r="G12" s="62">
        <f t="shared" si="4"/>
        <v>2517792.981</v>
      </c>
      <c r="H12" s="62">
        <f t="shared" si="4"/>
        <v>4128761.577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3"/>
      <c r="B13" s="63"/>
      <c r="C13" s="63"/>
      <c r="D13" s="63"/>
      <c r="E13" s="63"/>
      <c r="F13" s="63"/>
      <c r="G13" s="63"/>
      <c r="H13" s="6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4" t="s">
        <v>83</v>
      </c>
      <c r="B14" s="51"/>
      <c r="C14" s="65"/>
      <c r="D14" s="65"/>
      <c r="E14" s="65"/>
      <c r="F14" s="65"/>
      <c r="G14" s="65"/>
      <c r="H14" s="6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9" t="s">
        <v>84</v>
      </c>
      <c r="B15" s="50"/>
      <c r="C15" s="50"/>
      <c r="D15" s="50"/>
      <c r="E15" s="50"/>
      <c r="F15" s="50"/>
      <c r="G15" s="50"/>
      <c r="H15" s="5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2" t="s">
        <v>85</v>
      </c>
      <c r="C16" s="66">
        <f>Parameters!F12+Parameters!F16</f>
        <v>9050</v>
      </c>
      <c r="D16" s="66">
        <f>Parameters!G12+Parameters!G16</f>
        <v>14522.5</v>
      </c>
      <c r="E16" s="66">
        <f>Parameters!H12+Parameters!H16</f>
        <v>27677.2625</v>
      </c>
      <c r="F16" s="66">
        <f>Parameters!I12+Parameters!I16</f>
        <v>49342.11438</v>
      </c>
      <c r="G16" s="66">
        <f>Parameters!J12+Parameters!J16</f>
        <v>79427.50016</v>
      </c>
      <c r="H16" s="66">
        <f>Parameters!K12+Parameters!K16</f>
        <v>131384.8053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2" t="s">
        <v>86</v>
      </c>
      <c r="C17" s="55">
        <f>'Income statement'!C21*(1-Parameters!$B39)</f>
        <v>0</v>
      </c>
      <c r="D17" s="55">
        <f>'Income statement'!D21*(1-Parameters!$B39)</f>
        <v>0</v>
      </c>
      <c r="E17" s="55">
        <f>'Income statement'!E21*(1-Parameters!$B39)</f>
        <v>13987.45138</v>
      </c>
      <c r="F17" s="55">
        <f>'Income statement'!F21*(1-Parameters!$B39)</f>
        <v>79123.78188</v>
      </c>
      <c r="G17" s="55">
        <f>'Income statement'!G21*(1-Parameters!$B39)</f>
        <v>176952.3663</v>
      </c>
      <c r="H17" s="55">
        <f>'Income statement'!H21*(1-Parameters!$B39)</f>
        <v>351620.1766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2" t="s">
        <v>87</v>
      </c>
      <c r="C18" s="67">
        <f>'Income statement'!C13</f>
        <v>184800</v>
      </c>
      <c r="D18" s="67">
        <f>'Income statement'!D13</f>
        <v>263280</v>
      </c>
      <c r="E18" s="67">
        <f>'Income statement'!E13</f>
        <v>289608</v>
      </c>
      <c r="F18" s="67">
        <f>'Income statement'!F13</f>
        <v>318568.8</v>
      </c>
      <c r="G18" s="67">
        <f>'Income statement'!G13</f>
        <v>350425.68</v>
      </c>
      <c r="H18" s="67">
        <f>'Income statement'!H13</f>
        <v>385468.248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/>
      <c r="B19" s="52" t="s">
        <v>88</v>
      </c>
      <c r="C19" s="68">
        <f>Parameters!F17</f>
        <v>22500</v>
      </c>
      <c r="D19" s="68">
        <f>Parameters!G17</f>
        <v>52500</v>
      </c>
      <c r="E19" s="68">
        <f>Parameters!H17</f>
        <v>52500</v>
      </c>
      <c r="F19" s="68">
        <f>Parameters!I17</f>
        <v>52500</v>
      </c>
      <c r="G19" s="68">
        <f>Parameters!J17</f>
        <v>52500</v>
      </c>
      <c r="H19" s="68">
        <f>Parameters!K17</f>
        <v>52500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6" t="s">
        <v>89</v>
      </c>
      <c r="B20" s="51"/>
      <c r="C20" s="69">
        <f t="shared" ref="C20:H20" si="5">SUM(C16:C19)</f>
        <v>216350</v>
      </c>
      <c r="D20" s="69">
        <f t="shared" si="5"/>
        <v>330302.5</v>
      </c>
      <c r="E20" s="69">
        <f t="shared" si="5"/>
        <v>383772.7139</v>
      </c>
      <c r="F20" s="69">
        <f t="shared" si="5"/>
        <v>499534.6963</v>
      </c>
      <c r="G20" s="69">
        <f t="shared" si="5"/>
        <v>659305.5464</v>
      </c>
      <c r="H20" s="69">
        <f t="shared" si="5"/>
        <v>920973.2299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0" t="s">
        <v>90</v>
      </c>
      <c r="H21" s="5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52" t="s">
        <v>91</v>
      </c>
      <c r="C22" s="53">
        <f>Parameters!B26</f>
        <v>150000</v>
      </c>
      <c r="D22" s="53">
        <f>Parameters!C26</f>
        <v>200000</v>
      </c>
      <c r="E22" s="53">
        <f>Parameters!D26</f>
        <v>300000</v>
      </c>
      <c r="F22" s="53">
        <f>Parameters!E26</f>
        <v>0</v>
      </c>
      <c r="G22" s="53">
        <f>Parameters!F26</f>
        <v>0</v>
      </c>
      <c r="H22" s="53">
        <f>Parameters!G26</f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52" t="s">
        <v>92</v>
      </c>
      <c r="C23" s="55">
        <f>'Income statement'!C21-C17</f>
        <v>0</v>
      </c>
      <c r="D23" s="55">
        <f>'Income statement'!D21-D17</f>
        <v>0</v>
      </c>
      <c r="E23" s="55">
        <f>'Income statement'!E21-E17</f>
        <v>7676.444701</v>
      </c>
      <c r="F23" s="55">
        <f>'Income statement'!F21-F17</f>
        <v>43423.8747</v>
      </c>
      <c r="G23" s="55">
        <f>'Income statement'!G21-G17</f>
        <v>97113.12072</v>
      </c>
      <c r="H23" s="55">
        <f>'Income statement'!H21-H17</f>
        <v>192972.4557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52" t="s">
        <v>93</v>
      </c>
      <c r="C24" s="55">
        <f t="shared" ref="C24:H24" si="6">C12-(C26+C30)</f>
        <v>16800</v>
      </c>
      <c r="D24" s="55">
        <f t="shared" si="6"/>
        <v>22120</v>
      </c>
      <c r="E24" s="55">
        <f t="shared" si="6"/>
        <v>28238</v>
      </c>
      <c r="F24" s="55">
        <f t="shared" si="6"/>
        <v>35273.7</v>
      </c>
      <c r="G24" s="55">
        <f t="shared" si="6"/>
        <v>43364.755</v>
      </c>
      <c r="H24" s="55">
        <f t="shared" si="6"/>
        <v>52669.46825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1" t="s">
        <v>94</v>
      </c>
      <c r="B25" s="72"/>
      <c r="C25" s="73">
        <f t="shared" ref="C25:H25" si="7">SUM(C22:C23)</f>
        <v>150000</v>
      </c>
      <c r="D25" s="73">
        <f t="shared" si="7"/>
        <v>200000</v>
      </c>
      <c r="E25" s="73">
        <f t="shared" si="7"/>
        <v>307676.4447</v>
      </c>
      <c r="F25" s="73">
        <f t="shared" si="7"/>
        <v>43423.8747</v>
      </c>
      <c r="G25" s="73">
        <f t="shared" si="7"/>
        <v>97113.12072</v>
      </c>
      <c r="H25" s="73">
        <f t="shared" si="7"/>
        <v>192972.4557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4" t="s">
        <v>95</v>
      </c>
      <c r="B26" s="47"/>
      <c r="C26" s="75">
        <f t="shared" ref="C26:H26" si="8">C20+C25</f>
        <v>366350</v>
      </c>
      <c r="D26" s="75">
        <f t="shared" si="8"/>
        <v>530302.5</v>
      </c>
      <c r="E26" s="75">
        <f t="shared" si="8"/>
        <v>691449.1586</v>
      </c>
      <c r="F26" s="75">
        <f t="shared" si="8"/>
        <v>542958.5709</v>
      </c>
      <c r="G26" s="75">
        <f t="shared" si="8"/>
        <v>756418.6672</v>
      </c>
      <c r="H26" s="75">
        <f t="shared" si="8"/>
        <v>1113945.686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9" t="s">
        <v>96</v>
      </c>
      <c r="B27" s="50"/>
      <c r="C27" s="50"/>
      <c r="D27" s="50"/>
      <c r="E27" s="50"/>
      <c r="F27" s="50"/>
      <c r="G27" s="50"/>
      <c r="H27" s="5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52" t="s">
        <v>97</v>
      </c>
      <c r="C28" s="53">
        <f>Parameters!B24</f>
        <v>200000</v>
      </c>
      <c r="D28" s="53">
        <f>Parameters!C24</f>
        <v>350000</v>
      </c>
      <c r="E28" s="53">
        <f>Parameters!D24</f>
        <v>400000</v>
      </c>
      <c r="F28" s="55">
        <f t="shared" ref="F28:H28" si="9">E28*1.45</f>
        <v>580000</v>
      </c>
      <c r="G28" s="55">
        <f t="shared" si="9"/>
        <v>841000</v>
      </c>
      <c r="H28" s="55">
        <f t="shared" si="9"/>
        <v>1219450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/>
      <c r="B29" s="52" t="s">
        <v>98</v>
      </c>
      <c r="C29" s="53">
        <f>'Income statement'!C23</f>
        <v>-274045.1579</v>
      </c>
      <c r="D29" s="53">
        <f>'Income statement'!D23</f>
        <v>-230401.1105</v>
      </c>
      <c r="E29" s="53">
        <f>'Income statement'!E23</f>
        <v>69324.46746</v>
      </c>
      <c r="F29" s="53">
        <f>'Income statement'!F23</f>
        <v>392152.501</v>
      </c>
      <c r="G29" s="53">
        <f>'Income statement'!G23</f>
        <v>877009.5584</v>
      </c>
      <c r="H29" s="53">
        <f>'Income statement'!H23</f>
        <v>1742696.423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6" t="s">
        <v>99</v>
      </c>
      <c r="B30" s="51"/>
      <c r="C30" s="69">
        <f t="shared" ref="C30:H30" si="10">SUM(C28:C29)</f>
        <v>-74045.15789</v>
      </c>
      <c r="D30" s="69">
        <f t="shared" si="10"/>
        <v>119598.8895</v>
      </c>
      <c r="E30" s="69">
        <f t="shared" si="10"/>
        <v>469324.4675</v>
      </c>
      <c r="F30" s="69">
        <f t="shared" si="10"/>
        <v>972152.501</v>
      </c>
      <c r="G30" s="69">
        <f t="shared" si="10"/>
        <v>1718009.558</v>
      </c>
      <c r="H30" s="69">
        <f t="shared" si="10"/>
        <v>2962146.423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3"/>
      <c r="B31" s="63"/>
      <c r="C31" s="63"/>
      <c r="D31" s="63"/>
      <c r="E31" s="63"/>
      <c r="F31" s="63"/>
      <c r="G31" s="63"/>
      <c r="H31" s="6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6" t="s">
        <v>100</v>
      </c>
      <c r="B32" s="51"/>
      <c r="C32" s="77">
        <f t="shared" ref="C32:H32" si="11">C26+C30+C24</f>
        <v>309104.8421</v>
      </c>
      <c r="D32" s="77">
        <f t="shared" si="11"/>
        <v>672021.3895</v>
      </c>
      <c r="E32" s="77">
        <f t="shared" si="11"/>
        <v>1189011.626</v>
      </c>
      <c r="F32" s="77">
        <f t="shared" si="11"/>
        <v>1550384.772</v>
      </c>
      <c r="G32" s="77">
        <f t="shared" si="11"/>
        <v>2517792.981</v>
      </c>
      <c r="H32" s="77">
        <f t="shared" si="11"/>
        <v>4128761.577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mergeCells count="15">
    <mergeCell ref="A14:B14"/>
    <mergeCell ref="A20:B20"/>
    <mergeCell ref="A25:B25"/>
    <mergeCell ref="A26:B26"/>
    <mergeCell ref="A30:B30"/>
    <mergeCell ref="A32:B32"/>
    <mergeCell ref="A21:H21"/>
    <mergeCell ref="A27:H27"/>
    <mergeCell ref="A1:B1"/>
    <mergeCell ref="A2:H2"/>
    <mergeCell ref="A6:B6"/>
    <mergeCell ref="A7:H7"/>
    <mergeCell ref="A11:B11"/>
    <mergeCell ref="A12:B12"/>
    <mergeCell ref="A15:H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A1" s="78" t="s">
        <v>101</v>
      </c>
      <c r="B1" s="72"/>
      <c r="C1" s="79">
        <v>2023.0</v>
      </c>
      <c r="D1" s="79">
        <v>2024.0</v>
      </c>
      <c r="E1" s="79">
        <v>2025.0</v>
      </c>
      <c r="F1" s="79">
        <v>2026.0</v>
      </c>
      <c r="G1" s="79">
        <v>2027.0</v>
      </c>
      <c r="H1" s="79">
        <v>2028.0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27" t="s">
        <v>102</v>
      </c>
      <c r="C2" s="80">
        <f>Parameters!F4</f>
        <v>28728</v>
      </c>
      <c r="D2" s="80">
        <f>Parameters!G4</f>
        <v>156567.6</v>
      </c>
      <c r="E2" s="80">
        <f>Parameters!H4</f>
        <v>492405.102</v>
      </c>
      <c r="F2" s="80">
        <f>Parameters!I4</f>
        <v>1058670.969</v>
      </c>
      <c r="G2" s="80">
        <f>Parameters!J4</f>
        <v>1852674.196</v>
      </c>
      <c r="H2" s="80">
        <f>Parameters!K4</f>
        <v>3242179.843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81" t="s">
        <v>103</v>
      </c>
      <c r="C3" s="80">
        <f>Parameters!F3</f>
        <v>16200</v>
      </c>
      <c r="D3" s="80">
        <f>Parameters!G3</f>
        <v>88290</v>
      </c>
      <c r="E3" s="80">
        <f>Parameters!H3</f>
        <v>277672.05</v>
      </c>
      <c r="F3" s="80">
        <f>Parameters!I3</f>
        <v>596994.9075</v>
      </c>
      <c r="G3" s="80">
        <f>Parameters!J3</f>
        <v>1044741.088</v>
      </c>
      <c r="H3" s="80">
        <f>Parameters!K3</f>
        <v>1828296.904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8"/>
      <c r="B4" s="27" t="s">
        <v>104</v>
      </c>
      <c r="C4" s="80">
        <f>Parameters!F5</f>
        <v>2364.631579</v>
      </c>
      <c r="D4" s="80">
        <f>Parameters!G5</f>
        <v>12887.24211</v>
      </c>
      <c r="E4" s="80">
        <f>Parameters!H5</f>
        <v>40530.37642</v>
      </c>
      <c r="F4" s="80">
        <f>Parameters!I5</f>
        <v>87140.30931</v>
      </c>
      <c r="G4" s="80">
        <f>Parameters!J5</f>
        <v>152495.5413</v>
      </c>
      <c r="H4" s="80">
        <f>Parameters!K5</f>
        <v>266867.1972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2" t="s">
        <v>105</v>
      </c>
      <c r="B5" s="51"/>
      <c r="C5" s="83">
        <f t="shared" ref="C5:H5" si="1">SUM(C2:C4)</f>
        <v>47292.63158</v>
      </c>
      <c r="D5" s="83">
        <f t="shared" si="1"/>
        <v>257744.8421</v>
      </c>
      <c r="E5" s="83">
        <f t="shared" si="1"/>
        <v>810607.5284</v>
      </c>
      <c r="F5" s="83">
        <f t="shared" si="1"/>
        <v>1742806.186</v>
      </c>
      <c r="G5" s="83">
        <f t="shared" si="1"/>
        <v>3049910.826</v>
      </c>
      <c r="H5" s="83">
        <f t="shared" si="1"/>
        <v>5337343.945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3"/>
      <c r="B6" s="63"/>
      <c r="C6" s="63"/>
      <c r="D6" s="63"/>
      <c r="E6" s="63"/>
      <c r="F6" s="63"/>
      <c r="G6" s="63"/>
      <c r="H6" s="6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4" t="s">
        <v>106</v>
      </c>
      <c r="B7" s="59"/>
      <c r="C7" s="85">
        <v>2023.0</v>
      </c>
      <c r="D7" s="85">
        <v>2024.0</v>
      </c>
      <c r="E7" s="85">
        <v>2025.0</v>
      </c>
      <c r="F7" s="85">
        <v>2026.0</v>
      </c>
      <c r="G7" s="85">
        <v>2027.0</v>
      </c>
      <c r="H7" s="85">
        <v>2028.0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27" t="s">
        <v>107</v>
      </c>
      <c r="C8" s="80">
        <f>C11/Parameters!$B35</f>
        <v>2800</v>
      </c>
      <c r="D8" s="80">
        <f>C8+D11/Parameters!$B35</f>
        <v>3220</v>
      </c>
      <c r="E8" s="80">
        <f>D8+E11/Parameters!$B35</f>
        <v>3703</v>
      </c>
      <c r="F8" s="80">
        <f>E8+F11/Parameters!$B35</f>
        <v>4258.45</v>
      </c>
      <c r="G8" s="80">
        <f>F8+G11/Parameters!$B35</f>
        <v>4897.2175</v>
      </c>
      <c r="H8" s="80">
        <f>G8+H11/Parameters!$B35-C11/Parameters!$B35</f>
        <v>2831.800125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27" t="s">
        <v>108</v>
      </c>
      <c r="C9" s="80">
        <f>Parameters!F17</f>
        <v>22500</v>
      </c>
      <c r="D9" s="80">
        <f>Parameters!G17</f>
        <v>52500</v>
      </c>
      <c r="E9" s="80">
        <f>Parameters!H17</f>
        <v>52500</v>
      </c>
      <c r="F9" s="80">
        <f>Parameters!I17</f>
        <v>52500</v>
      </c>
      <c r="G9" s="80">
        <f>Parameters!J17</f>
        <v>52500</v>
      </c>
      <c r="H9" s="80">
        <f>Parameters!K17</f>
        <v>52500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27" t="s">
        <v>109</v>
      </c>
      <c r="C10" s="80">
        <f>Parameters!F13</f>
        <v>24000</v>
      </c>
      <c r="D10" s="80">
        <f>Parameters!G13</f>
        <v>25200</v>
      </c>
      <c r="E10" s="80">
        <f>Parameters!H13</f>
        <v>26460</v>
      </c>
      <c r="F10" s="80">
        <f>Parameters!I13</f>
        <v>57783</v>
      </c>
      <c r="G10" s="80">
        <f>Parameters!J13</f>
        <v>60672.15</v>
      </c>
      <c r="H10" s="80">
        <f>Parameters!K13</f>
        <v>63705.7575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27" t="s">
        <v>110</v>
      </c>
      <c r="C11" s="80">
        <f>Parameters!B33</f>
        <v>14000</v>
      </c>
      <c r="D11" s="80">
        <f>Parameters!G10</f>
        <v>2100</v>
      </c>
      <c r="E11" s="80">
        <f>Parameters!H10</f>
        <v>2415</v>
      </c>
      <c r="F11" s="80">
        <f>Parameters!I10</f>
        <v>2777.25</v>
      </c>
      <c r="G11" s="80">
        <f>Parameters!J10</f>
        <v>3193.8375</v>
      </c>
      <c r="H11" s="80">
        <f>Parameters!K10</f>
        <v>3672.913125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27" t="s">
        <v>103</v>
      </c>
      <c r="C12" s="80">
        <f>Parameters!F15</f>
        <v>50000</v>
      </c>
      <c r="D12" s="80">
        <f>Parameters!G15</f>
        <v>50000</v>
      </c>
      <c r="E12" s="80">
        <f>Parameters!H15</f>
        <v>56742.52699</v>
      </c>
      <c r="F12" s="80">
        <f>Parameters!I15</f>
        <v>121996.433</v>
      </c>
      <c r="G12" s="80">
        <f>Parameters!J15</f>
        <v>213493.7578</v>
      </c>
      <c r="H12" s="80">
        <f>Parameters!K15</f>
        <v>373614.0761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27" t="s">
        <v>111</v>
      </c>
      <c r="C13" s="80">
        <f>Parameters!F11</f>
        <v>184800</v>
      </c>
      <c r="D13" s="80">
        <f>Parameters!G11</f>
        <v>263280</v>
      </c>
      <c r="E13" s="80">
        <f>Parameters!H11</f>
        <v>289608</v>
      </c>
      <c r="F13" s="80">
        <f>Parameters!I11</f>
        <v>318568.8</v>
      </c>
      <c r="G13" s="80">
        <f>Parameters!J11</f>
        <v>350425.68</v>
      </c>
      <c r="H13" s="80">
        <f>Parameters!K11</f>
        <v>385468.248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27" t="s">
        <v>112</v>
      </c>
      <c r="C14" s="80">
        <f>Parameters!F16</f>
        <v>8000</v>
      </c>
      <c r="D14" s="80">
        <f>Parameters!G16</f>
        <v>8800</v>
      </c>
      <c r="E14" s="80">
        <f>Parameters!H16</f>
        <v>9680</v>
      </c>
      <c r="F14" s="80">
        <f>Parameters!I16</f>
        <v>10648</v>
      </c>
      <c r="G14" s="80">
        <f>Parameters!J16</f>
        <v>11712.8</v>
      </c>
      <c r="H14" s="80">
        <f>Parameters!K16</f>
        <v>12884.08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27" t="s">
        <v>113</v>
      </c>
      <c r="C15" s="80">
        <f>Parameters!F12</f>
        <v>1050</v>
      </c>
      <c r="D15" s="80">
        <f>Parameters!G12</f>
        <v>5722.5</v>
      </c>
      <c r="E15" s="80">
        <f>Parameters!H12</f>
        <v>17997.2625</v>
      </c>
      <c r="F15" s="80">
        <f>Parameters!I12</f>
        <v>38694.11438</v>
      </c>
      <c r="G15" s="80">
        <f>Parameters!J12</f>
        <v>67714.70016</v>
      </c>
      <c r="H15" s="80">
        <f>Parameters!K12</f>
        <v>118500.7253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27" t="s">
        <v>114</v>
      </c>
      <c r="C16" s="80">
        <f>C5*Parameters!$B7</f>
        <v>14187.78947</v>
      </c>
      <c r="D16" s="80">
        <f>D5*Parameters!$B7</f>
        <v>77323.45263</v>
      </c>
      <c r="E16" s="80">
        <f>E5*Parameters!$B7</f>
        <v>243182.2585</v>
      </c>
      <c r="F16" s="80">
        <f>F5*Parameters!$B7</f>
        <v>522841.8558</v>
      </c>
      <c r="G16" s="80">
        <f>G5*Parameters!$B7</f>
        <v>914973.2477</v>
      </c>
      <c r="H16" s="80">
        <f>H5*Parameters!$B7</f>
        <v>1601203.183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7"/>
      <c r="B17" s="27" t="s">
        <v>115</v>
      </c>
      <c r="C17" s="19"/>
      <c r="D17" s="19"/>
      <c r="E17" s="19"/>
      <c r="F17" s="19"/>
      <c r="G17" s="19"/>
      <c r="H17" s="1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6" t="s">
        <v>116</v>
      </c>
      <c r="B18" s="51"/>
      <c r="C18" s="83">
        <f t="shared" ref="C18:H18" si="2">sum(C8:C16)</f>
        <v>321337.7895</v>
      </c>
      <c r="D18" s="83">
        <f t="shared" si="2"/>
        <v>488145.9526</v>
      </c>
      <c r="E18" s="83">
        <f t="shared" si="2"/>
        <v>702288.048</v>
      </c>
      <c r="F18" s="83">
        <f t="shared" si="2"/>
        <v>1130067.903</v>
      </c>
      <c r="G18" s="83">
        <f t="shared" si="2"/>
        <v>1679583.391</v>
      </c>
      <c r="H18" s="83">
        <f t="shared" si="2"/>
        <v>2614380.784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7"/>
      <c r="C19" s="87"/>
      <c r="D19" s="87"/>
      <c r="E19" s="87"/>
      <c r="F19" s="87"/>
      <c r="G19" s="87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27" t="s">
        <v>117</v>
      </c>
      <c r="C20" s="80">
        <f t="shared" ref="C20:H20" si="3">C5-C18</f>
        <v>-274045.1579</v>
      </c>
      <c r="D20" s="80">
        <f t="shared" si="3"/>
        <v>-230401.1105</v>
      </c>
      <c r="E20" s="80">
        <f t="shared" si="3"/>
        <v>108319.4804</v>
      </c>
      <c r="F20" s="80">
        <f t="shared" si="3"/>
        <v>612738.2829</v>
      </c>
      <c r="G20" s="80">
        <f t="shared" si="3"/>
        <v>1370327.435</v>
      </c>
      <c r="H20" s="80">
        <f t="shared" si="3"/>
        <v>2722963.161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18" t="s">
        <v>118</v>
      </c>
      <c r="C21" s="88">
        <f>IF(C20&lt;0, 0, C20*Parameters!$B29)</f>
        <v>0</v>
      </c>
      <c r="D21" s="88">
        <f>IF(D20&lt;0, 0, D20*Parameters!$B29)</f>
        <v>0</v>
      </c>
      <c r="E21" s="80">
        <f>IF(E20&lt;0, 0, E20*Parameters!$B29)</f>
        <v>21663.89608</v>
      </c>
      <c r="F21" s="80">
        <f>IF(F20&lt;0, 0, F20*Parameters!$B29)</f>
        <v>122547.6566</v>
      </c>
      <c r="G21" s="80">
        <f>IF(G20&lt;0, 0, G20*Parameters!$B29)</f>
        <v>274065.487</v>
      </c>
      <c r="H21" s="80">
        <f>IF(H20&lt;0, 0, H20*Parameters!$B29)</f>
        <v>544592.6323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7"/>
      <c r="B22" s="27" t="s">
        <v>119</v>
      </c>
      <c r="C22" s="89">
        <f> if(C20&lt;0, 0, C20*(100%-Parameters!$B29)*Parameters!$B36)</f>
        <v>0</v>
      </c>
      <c r="D22" s="89">
        <f> if(D20&lt;0, 0, D20*(100%-Parameters!$B29)*Parameters!$B36)</f>
        <v>0</v>
      </c>
      <c r="E22" s="80">
        <f> if(E20&lt;0, 0, E20*(100%-Parameters!$B29)*Parameters!$B36)</f>
        <v>17331.11686</v>
      </c>
      <c r="F22" s="80">
        <f> if(F20&lt;0, 0, F20*(100%-Parameters!$B29)*Parameters!$B36)</f>
        <v>98038.12526</v>
      </c>
      <c r="G22" s="80">
        <f> if(G20&lt;0, 0, G20*(100%-Parameters!$B29)*Parameters!$B36)</f>
        <v>219252.3896</v>
      </c>
      <c r="H22" s="80">
        <f> if(H20&lt;0, 0, H20*(100%-Parameters!$B29)*Parameters!$B36)</f>
        <v>435674.1058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0" t="s">
        <v>120</v>
      </c>
      <c r="B23" s="51"/>
      <c r="C23" s="91">
        <f t="shared" ref="C23:H23" si="4">C20-C21-C22</f>
        <v>-274045.1579</v>
      </c>
      <c r="D23" s="91">
        <f t="shared" si="4"/>
        <v>-230401.1105</v>
      </c>
      <c r="E23" s="91">
        <f t="shared" si="4"/>
        <v>69324.46746</v>
      </c>
      <c r="F23" s="91">
        <f t="shared" si="4"/>
        <v>392152.501</v>
      </c>
      <c r="G23" s="91">
        <f t="shared" si="4"/>
        <v>877009.5584</v>
      </c>
      <c r="H23" s="91">
        <f t="shared" si="4"/>
        <v>1742696.423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A1:B1"/>
    <mergeCell ref="A5:B5"/>
    <mergeCell ref="A7:B7"/>
    <mergeCell ref="A18:B18"/>
    <mergeCell ref="A23:B23"/>
  </mergeCells>
  <drawing r:id="rId1"/>
</worksheet>
</file>