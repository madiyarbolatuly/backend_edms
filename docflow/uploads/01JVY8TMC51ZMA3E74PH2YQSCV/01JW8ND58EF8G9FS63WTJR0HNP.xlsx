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ome Statement" sheetId="1" r:id="rId4"/>
    <sheet state="visible" name="R1T6" sheetId="2" r:id="rId5"/>
  </sheets>
  <definedNames/>
  <calcPr/>
</workbook>
</file>

<file path=xl/sharedStrings.xml><?xml version="1.0" encoding="utf-8"?>
<sst xmlns="http://schemas.openxmlformats.org/spreadsheetml/2006/main" count="158" uniqueCount="90">
  <si>
    <t>*All data are provided in KZT (tenge)</t>
  </si>
  <si>
    <t>​​App for tracking home-made food nearby</t>
  </si>
  <si>
    <t>Revenue Projections</t>
  </si>
  <si>
    <t>Year 1</t>
  </si>
  <si>
    <t>Year 2</t>
  </si>
  <si>
    <t>Year 3</t>
  </si>
  <si>
    <t>Year 4</t>
  </si>
  <si>
    <t>Year 5</t>
  </si>
  <si>
    <t>Commission for delivery</t>
  </si>
  <si>
    <t>Price</t>
  </si>
  <si>
    <t>Information Source</t>
  </si>
  <si>
    <t>Units</t>
  </si>
  <si>
    <t>Subscription for Customers</t>
  </si>
  <si>
    <t>Price for a monthly subscription</t>
  </si>
  <si>
    <t>Units sold of a monthly subscription</t>
  </si>
  <si>
    <t>Price for a yearly subscription</t>
  </si>
  <si>
    <t>Units sold of a yearly subscription</t>
  </si>
  <si>
    <t>Total</t>
  </si>
  <si>
    <t>Balance sheet</t>
  </si>
  <si>
    <t>Assets</t>
  </si>
  <si>
    <t>Year 0</t>
  </si>
  <si>
    <t>Current Assets</t>
  </si>
  <si>
    <t>Cash</t>
  </si>
  <si>
    <t>Total current assets</t>
  </si>
  <si>
    <t>Non-current Assets</t>
  </si>
  <si>
    <t>Equipment</t>
  </si>
  <si>
    <t>Total non-current assets</t>
  </si>
  <si>
    <t>Total assets</t>
  </si>
  <si>
    <t>5 849 502,67</t>
  </si>
  <si>
    <t>6 592 196,51</t>
  </si>
  <si>
    <t>13 663 326,20</t>
  </si>
  <si>
    <t>Equity</t>
  </si>
  <si>
    <t>Shareholder's equity</t>
  </si>
  <si>
    <t>20 000 000,00</t>
  </si>
  <si>
    <t>Total equity</t>
  </si>
  <si>
    <t>Liabilities</t>
  </si>
  <si>
    <t>Position's name and its mothly salary</t>
  </si>
  <si>
    <t>Number of workers</t>
  </si>
  <si>
    <t>Position</t>
  </si>
  <si>
    <t>Salary</t>
  </si>
  <si>
    <t>Developers and Programmers</t>
  </si>
  <si>
    <t>UI/UX Designer</t>
  </si>
  <si>
    <t>Market analyst</t>
  </si>
  <si>
    <t>Food Safety Expert</t>
  </si>
  <si>
    <t>Onboarding Manager</t>
  </si>
  <si>
    <t>Attorney</t>
  </si>
  <si>
    <t>Marketing and Promotion Team</t>
  </si>
  <si>
    <t>Accountant</t>
  </si>
  <si>
    <t>*The salaries were estimated from website https://hh.kz</t>
  </si>
  <si>
    <t>Salary expenses</t>
  </si>
  <si>
    <t xml:space="preserve">Total </t>
  </si>
  <si>
    <t>Operating expenses</t>
  </si>
  <si>
    <t>Office rent</t>
  </si>
  <si>
    <t>Salaries</t>
  </si>
  <si>
    <t>Hosting</t>
  </si>
  <si>
    <t>Information source</t>
  </si>
  <si>
    <t>Marketing and advertising</t>
  </si>
  <si>
    <t>Branding</t>
  </si>
  <si>
    <t>Research and development</t>
  </si>
  <si>
    <t>Total Operating Expenses</t>
  </si>
  <si>
    <t>Capital Expenses:</t>
  </si>
  <si>
    <t>App/platform</t>
  </si>
  <si>
    <t>Office computers (5)</t>
  </si>
  <si>
    <t>Total Capital Expenses</t>
  </si>
  <si>
    <t xml:space="preserve">Total Expenses </t>
  </si>
  <si>
    <t>Fixed assets</t>
  </si>
  <si>
    <t xml:space="preserve">Cost </t>
  </si>
  <si>
    <t>Estimated salvage value, KZT</t>
  </si>
  <si>
    <t>Useful life in years</t>
  </si>
  <si>
    <t>Linear Depreciation
  per year</t>
  </si>
  <si>
    <t>Computers</t>
  </si>
  <si>
    <t>https://www.eldorado.ru/c/kompyutery/tag/dlya-servera/?utm_source=google&amp;utm_medium=organic&amp;utm_campaign=google&amp;utm_referrer=google</t>
  </si>
  <si>
    <t>Depreciation and Amortization</t>
  </si>
  <si>
    <t>https://www.zakon.kz/finansy/6402287-sovety-dlya-biznesa-skolko-deneg-nuzhno-na-marketing-i-PR.html</t>
  </si>
  <si>
    <t>Income statement</t>
  </si>
  <si>
    <t>Sales</t>
  </si>
  <si>
    <t>Gross Profit</t>
  </si>
  <si>
    <t>Total expenses</t>
  </si>
  <si>
    <t>Earning before Interest and Taxes</t>
  </si>
  <si>
    <t>Income tax 20 %</t>
  </si>
  <si>
    <t>Net Operating Profit after Tax</t>
  </si>
  <si>
    <r>
      <rPr>
        <rFont val="Times New Roman"/>
        <b/>
        <color theme="1"/>
        <sz val="12.0"/>
      </rPr>
      <t>Follow-up notes:</t>
    </r>
    <r>
      <rPr>
        <rFont val="Times New Roman"/>
        <color theme="1"/>
        <sz val="12.0"/>
      </rPr>
      <t xml:space="preserve"> Our business idea is an app for tracking home-made food nearby. Our users are housewives and disabled people cooking healthy food from home, customers searching for fresh home-made food nearby, and deliverymen getting delivery orders also via our app. Our main revenue sources are subscriptions for customers and delivery. It must be noted that we do not have commissions and subscriptions for food preparers as they belong to the socially and economically vulnerable group, and we self-identify as a social business project. We started our business in Year 1 with 10 million tenge of cash. Moreover, you can see from our tables that we did not spend much finances on equipment and office as we are an IT-company. We are planning to hire freelance specialists, and use our office for work meetings only. The specifics of our project also require hiring a food safety expert. To launch the app we also had such expenses as hosting and app/platform.</t>
    </r>
  </si>
  <si>
    <t>R1T6</t>
  </si>
  <si>
    <t>Abdumazitov Assadbek</t>
  </si>
  <si>
    <t>Aibar Ibrayev</t>
  </si>
  <si>
    <t>Zhuldyz Karamatdinova</t>
  </si>
  <si>
    <t>Sara Khantore</t>
  </si>
  <si>
    <t>Merey Kunakbayeva</t>
  </si>
  <si>
    <t>Altynay Mussakhanova</t>
  </si>
  <si>
    <t>Uran Timurbekov</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</si>
</sst>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2.0"/>
      <color rgb="FF000000"/>
      <name val="Times New Roman"/>
    </font>
    <font>
      <color theme="1"/>
      <name val="Arial"/>
      <scheme val="minor"/>
    </font>
    <font>
      <b/>
      <sz val="15.0"/>
      <color rgb="FF1F1F1F"/>
      <name val="Times New Roman"/>
    </font>
    <font>
      <sz val="12.0"/>
      <color theme="1"/>
      <name val="&quot;Times New Roman&quot;"/>
    </font>
    <font>
      <b/>
      <sz val="12.0"/>
      <color theme="1"/>
      <name val="&quot;Times New Roman&quot;"/>
    </font>
    <font>
      <color rgb="FF000000"/>
      <name val="Arial"/>
    </font>
    <font>
      <b/>
      <sz val="12.0"/>
      <color rgb="FF1F1F1F"/>
      <name val="Times New Roman"/>
    </font>
    <font/>
    <font>
      <u/>
      <sz val="12.0"/>
      <color rgb="FF0000FF"/>
      <name val="&quot;Times New Roman&quot;"/>
    </font>
    <font>
      <u/>
      <sz val="12.0"/>
      <color rgb="FF0000FF"/>
      <name val="&quot;Times New Roman&quot;"/>
    </font>
    <font>
      <u/>
      <sz val="12.0"/>
      <color rgb="FF0000FF"/>
      <name val="&quot;Times New Roman&quot;"/>
    </font>
    <font>
      <sz val="12.0"/>
      <color rgb="FF000000"/>
      <name val="&quot;Times New Roman&quot;"/>
    </font>
    <font>
      <b/>
      <sz val="12.0"/>
      <color theme="1"/>
      <name val="Times New Roman"/>
    </font>
    <font>
      <sz val="12.0"/>
      <color rgb="FF1F1F1F"/>
      <name val="&quot;Times New Roman&quot;"/>
    </font>
    <font>
      <color theme="1"/>
      <name val="Arial"/>
    </font>
    <font>
      <sz val="12.0"/>
      <color theme="1"/>
      <name val="Times New Roman"/>
    </font>
    <font>
      <u/>
      <sz val="12.0"/>
      <color rgb="FF000000"/>
      <name val="Times New Roman"/>
    </font>
    <font>
      <color theme="1"/>
      <name val="Times New Roman"/>
    </font>
    <font>
      <b/>
      <color theme="1"/>
      <name val="Arial"/>
      <scheme val="minor"/>
    </font>
    <font>
      <u/>
      <sz val="12.0"/>
      <color rgb="FF1155CC"/>
      <name val="&quot;Times New Roman&quot;"/>
    </font>
    <font>
      <u/>
      <color rgb="FF0000FF"/>
    </font>
    <font>
      <u/>
      <sz val="12.0"/>
      <color rgb="FF0000FF"/>
      <name val="&quot;Times New Roman&quot;"/>
    </font>
    <font>
      <b/>
      <sz val="12.0"/>
      <color rgb="FF000000"/>
      <name val="&quot;Times New Roman&quot;"/>
    </font>
    <font>
      <u/>
      <color rgb="FF0000FF"/>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vertical="top"/>
    </xf>
    <xf borderId="0" fillId="2" fontId="3" numFmtId="0" xfId="0" applyAlignment="1" applyFont="1">
      <alignment readingOrder="0" vertical="top"/>
    </xf>
    <xf borderId="0" fillId="0" fontId="4" numFmtId="0" xfId="0" applyAlignment="1" applyFont="1">
      <alignment shrinkToFit="0" vertical="bottom" wrapText="0"/>
    </xf>
    <xf borderId="0" fillId="0" fontId="5" numFmtId="0" xfId="0" applyAlignment="1" applyFont="1">
      <alignment horizontal="center" readingOrder="0" vertical="top"/>
    </xf>
    <xf borderId="1" fillId="2" fontId="5" numFmtId="0" xfId="0" applyAlignment="1" applyBorder="1" applyFont="1">
      <alignment horizontal="center" readingOrder="0" shrinkToFit="0" vertical="top" wrapText="0"/>
    </xf>
    <xf borderId="1" fillId="2" fontId="4" numFmtId="0" xfId="0" applyAlignment="1" applyBorder="1" applyFont="1">
      <alignment horizontal="center" readingOrder="0" shrinkToFit="0" vertical="top" wrapText="0"/>
    </xf>
    <xf borderId="0" fillId="2" fontId="4" numFmtId="0" xfId="0" applyAlignment="1" applyFont="1">
      <alignment shrinkToFit="0" vertical="top" wrapText="0"/>
    </xf>
    <xf borderId="0" fillId="2" fontId="6" numFmtId="0" xfId="0" applyAlignment="1" applyFont="1">
      <alignment shrinkToFit="0" vertical="top" wrapText="0"/>
    </xf>
    <xf borderId="2" fillId="2" fontId="7" numFmtId="0" xfId="0" applyAlignment="1" applyBorder="1" applyFont="1">
      <alignment horizontal="center" readingOrder="0"/>
    </xf>
    <xf borderId="3" fillId="0" fontId="8" numFmtId="0" xfId="0" applyBorder="1" applyFont="1"/>
    <xf borderId="4" fillId="0" fontId="8" numFmtId="0" xfId="0" applyBorder="1" applyFont="1"/>
    <xf borderId="0" fillId="2" fontId="9" numFmtId="0" xfId="0" applyAlignment="1" applyFont="1">
      <alignment readingOrder="0" shrinkToFit="0" vertical="top" wrapText="0"/>
    </xf>
    <xf borderId="0" fillId="2" fontId="10" numFmtId="0" xfId="0" applyAlignment="1" applyFont="1">
      <alignment horizontal="left" readingOrder="0" shrinkToFit="0" vertical="top" wrapText="0"/>
    </xf>
    <xf borderId="0" fillId="2" fontId="4" numFmtId="0" xfId="0" applyAlignment="1" applyFont="1">
      <alignment readingOrder="0" shrinkToFit="0" vertical="top" wrapText="0"/>
    </xf>
    <xf borderId="2" fillId="2" fontId="5" numFmtId="0" xfId="0" applyAlignment="1" applyBorder="1" applyFont="1">
      <alignment horizontal="center" readingOrder="0" shrinkToFit="0" vertical="top" wrapText="0"/>
    </xf>
    <xf borderId="0" fillId="2" fontId="11" numFmtId="0" xfId="0" applyAlignment="1" applyFont="1">
      <alignment readingOrder="0" shrinkToFit="0" vertical="top" wrapText="0"/>
    </xf>
    <xf borderId="0" fillId="2" fontId="4" numFmtId="0" xfId="0" applyAlignment="1" applyFont="1">
      <alignment readingOrder="0" shrinkToFit="0" vertical="top" wrapText="0"/>
    </xf>
    <xf borderId="0" fillId="2" fontId="12" numFmtId="0" xfId="0" applyAlignment="1" applyFont="1">
      <alignment horizontal="left" readingOrder="0" shrinkToFit="0" vertical="top" wrapText="0"/>
    </xf>
    <xf borderId="0" fillId="2" fontId="12" numFmtId="0" xfId="0" applyAlignment="1" applyFont="1">
      <alignment shrinkToFit="0" vertical="top" wrapText="0"/>
    </xf>
    <xf borderId="1" fillId="2" fontId="4" numFmtId="4" xfId="0" applyAlignment="1" applyBorder="1" applyFont="1" applyNumberFormat="1">
      <alignment horizontal="center" readingOrder="0" shrinkToFit="0" vertical="top" wrapText="0"/>
    </xf>
    <xf borderId="0" fillId="2" fontId="2" numFmtId="0" xfId="0" applyAlignment="1" applyFont="1">
      <alignment vertical="top"/>
    </xf>
    <xf borderId="2" fillId="2" fontId="13" numFmtId="0" xfId="0" applyAlignment="1" applyBorder="1" applyFont="1">
      <alignment horizontal="center" readingOrder="0"/>
    </xf>
    <xf borderId="0" fillId="2" fontId="2" numFmtId="0" xfId="0" applyFont="1"/>
    <xf borderId="1" fillId="2" fontId="5" numFmtId="0" xfId="0" applyAlignment="1" applyBorder="1" applyFont="1">
      <alignment readingOrder="0" shrinkToFit="0" vertical="bottom" wrapText="0"/>
    </xf>
    <xf borderId="1" fillId="2" fontId="12" numFmtId="0" xfId="0" applyAlignment="1" applyBorder="1" applyFont="1">
      <alignment readingOrder="0" shrinkToFit="0" vertical="bottom" wrapText="0"/>
    </xf>
    <xf borderId="1" fillId="2" fontId="14" numFmtId="0" xfId="0" applyAlignment="1" applyBorder="1" applyFont="1">
      <alignment readingOrder="0" shrinkToFit="0" vertical="bottom" wrapText="0"/>
    </xf>
    <xf borderId="1" fillId="2" fontId="4" numFmtId="0" xfId="0" applyAlignment="1" applyBorder="1" applyFont="1">
      <alignment shrinkToFit="0" vertical="bottom" wrapText="0"/>
    </xf>
    <xf borderId="1" fillId="2" fontId="4" numFmtId="0" xfId="0" applyAlignment="1" applyBorder="1" applyFont="1">
      <alignment readingOrder="0" shrinkToFit="0" vertical="bottom" wrapText="0"/>
    </xf>
    <xf borderId="1" fillId="2" fontId="4" numFmtId="0" xfId="0" applyAlignment="1" applyBorder="1" applyFont="1">
      <alignment horizontal="right" readingOrder="0" shrinkToFit="0" vertical="bottom" wrapText="0"/>
    </xf>
    <xf borderId="1" fillId="2" fontId="4" numFmtId="4" xfId="0" applyAlignment="1" applyBorder="1" applyFont="1" applyNumberFormat="1">
      <alignment horizontal="right" readingOrder="0" shrinkToFit="0" vertical="bottom" wrapText="0"/>
    </xf>
    <xf borderId="1" fillId="2" fontId="12" numFmtId="4" xfId="0" applyAlignment="1" applyBorder="1" applyFont="1" applyNumberFormat="1">
      <alignment horizontal="right" readingOrder="0" shrinkToFit="0" vertical="bottom" wrapText="0"/>
    </xf>
    <xf borderId="0" fillId="2" fontId="5" numFmtId="0" xfId="0" applyAlignment="1" applyFont="1">
      <alignment shrinkToFit="0" vertical="bottom" wrapText="0"/>
    </xf>
    <xf borderId="0" fillId="2" fontId="4" numFmtId="0" xfId="0" applyAlignment="1" applyFont="1">
      <alignment shrinkToFit="0" vertical="bottom" wrapText="0"/>
    </xf>
    <xf borderId="1" fillId="2" fontId="2" numFmtId="0" xfId="0" applyAlignment="1" applyBorder="1" applyFont="1">
      <alignment readingOrder="0"/>
    </xf>
    <xf borderId="1" fillId="2" fontId="2" numFmtId="0" xfId="0" applyBorder="1" applyFont="1"/>
    <xf borderId="0" fillId="2" fontId="15" numFmtId="0" xfId="0" applyAlignment="1" applyFont="1">
      <alignment readingOrder="0" vertical="bottom"/>
    </xf>
    <xf borderId="0" fillId="2" fontId="15" numFmtId="0" xfId="0" applyAlignment="1" applyFont="1">
      <alignment vertical="bottom"/>
    </xf>
    <xf borderId="0" fillId="2" fontId="2" numFmtId="0" xfId="0" applyAlignment="1" applyFont="1">
      <alignment readingOrder="0"/>
    </xf>
    <xf borderId="1" fillId="2" fontId="5" numFmtId="0" xfId="0" applyAlignment="1" applyBorder="1" applyFont="1">
      <alignment vertical="bottom"/>
    </xf>
    <xf borderId="1" fillId="2" fontId="4" numFmtId="0" xfId="0" applyAlignment="1" applyBorder="1" applyFont="1">
      <alignment vertical="bottom"/>
    </xf>
    <xf borderId="1" fillId="2" fontId="13" numFmtId="0" xfId="0" applyAlignment="1" applyBorder="1" applyFont="1">
      <alignment vertical="bottom"/>
    </xf>
    <xf borderId="1" fillId="2" fontId="4" numFmtId="4" xfId="0" applyAlignment="1" applyBorder="1" applyFont="1" applyNumberFormat="1">
      <alignment horizontal="right" vertical="bottom"/>
    </xf>
    <xf borderId="1" fillId="2" fontId="4" numFmtId="0" xfId="0" applyAlignment="1" applyBorder="1" applyFont="1">
      <alignment horizontal="right" readingOrder="0" vertical="bottom"/>
    </xf>
    <xf borderId="1" fillId="2" fontId="4" numFmtId="0" xfId="0" applyAlignment="1" applyBorder="1" applyFont="1">
      <alignment readingOrder="0" vertical="bottom"/>
    </xf>
    <xf borderId="1" fillId="2" fontId="16" numFmtId="4" xfId="0" applyAlignment="1" applyBorder="1" applyFont="1" applyNumberFormat="1">
      <alignment readingOrder="0" vertical="bottom"/>
    </xf>
    <xf borderId="1" fillId="2" fontId="15" numFmtId="0" xfId="0" applyAlignment="1" applyBorder="1" applyFont="1">
      <alignment readingOrder="0" vertical="bottom"/>
    </xf>
    <xf borderId="1" fillId="2" fontId="4" numFmtId="0" xfId="0" applyAlignment="1" applyBorder="1" applyFont="1">
      <alignment horizontal="right" vertical="bottom"/>
    </xf>
    <xf borderId="1" fillId="2" fontId="4" numFmtId="4" xfId="0" applyAlignment="1" applyBorder="1" applyFont="1" applyNumberFormat="1">
      <alignment horizontal="right" readingOrder="0" vertical="bottom"/>
    </xf>
    <xf borderId="1" fillId="2" fontId="16" numFmtId="0" xfId="0" applyAlignment="1" applyBorder="1" applyFont="1">
      <alignment vertical="bottom"/>
    </xf>
    <xf borderId="0" fillId="0" fontId="17" numFmtId="0" xfId="0" applyAlignment="1" applyFont="1">
      <alignment readingOrder="0"/>
    </xf>
    <xf borderId="0" fillId="0" fontId="18" numFmtId="0" xfId="0" applyFont="1"/>
    <xf borderId="1" fillId="2" fontId="5" numFmtId="0" xfId="0" applyAlignment="1" applyBorder="1" applyFont="1">
      <alignment readingOrder="0" vertical="bottom"/>
    </xf>
    <xf borderId="1" fillId="2" fontId="16" numFmtId="0" xfId="0" applyBorder="1" applyFont="1"/>
    <xf borderId="1" fillId="0" fontId="19" numFmtId="0" xfId="0" applyAlignment="1" applyBorder="1" applyFont="1">
      <alignment readingOrder="0"/>
    </xf>
    <xf borderId="1" fillId="0" fontId="2" numFmtId="0" xfId="0" applyBorder="1" applyFont="1"/>
    <xf borderId="0" fillId="0" fontId="15" numFmtId="0" xfId="0" applyAlignment="1" applyFont="1">
      <alignment vertical="bottom"/>
    </xf>
    <xf borderId="0" fillId="0" fontId="19" numFmtId="0" xfId="0" applyFont="1"/>
    <xf borderId="1" fillId="2" fontId="15" numFmtId="4" xfId="0" applyAlignment="1" applyBorder="1" applyFont="1" applyNumberFormat="1">
      <alignment readingOrder="0" vertical="bottom"/>
    </xf>
    <xf borderId="0" fillId="2" fontId="20" numFmtId="0" xfId="0" applyAlignment="1" applyFont="1">
      <alignment vertical="bottom"/>
    </xf>
    <xf borderId="0" fillId="0" fontId="21" numFmtId="0" xfId="0" applyAlignment="1" applyFont="1">
      <alignment readingOrder="0"/>
    </xf>
    <xf borderId="0" fillId="0" fontId="2" numFmtId="0" xfId="0" applyAlignment="1" applyFont="1">
      <alignment readingOrder="0"/>
    </xf>
    <xf borderId="0" fillId="0" fontId="22" numFmtId="0" xfId="0" applyAlignment="1" applyFont="1">
      <alignment readingOrder="0" vertical="bottom"/>
    </xf>
    <xf borderId="1" fillId="2" fontId="23" numFmtId="0" xfId="0" applyAlignment="1" applyBorder="1" applyFont="1">
      <alignment readingOrder="0" shrinkToFit="0" vertical="bottom" wrapText="1"/>
    </xf>
    <xf borderId="1" fillId="2" fontId="12" numFmtId="0" xfId="0" applyAlignment="1" applyBorder="1" applyFont="1">
      <alignment readingOrder="0" shrinkToFit="0" vertical="bottom" wrapText="1"/>
    </xf>
    <xf borderId="1" fillId="2" fontId="2" numFmtId="0" xfId="0" applyAlignment="1" applyBorder="1" applyFont="1">
      <alignment readingOrder="0" shrinkToFit="0" wrapText="1"/>
    </xf>
    <xf borderId="1" fillId="2" fontId="12" numFmtId="4" xfId="0" applyAlignment="1" applyBorder="1" applyFont="1" applyNumberFormat="1">
      <alignment horizontal="right" readingOrder="0" shrinkToFit="0" vertical="bottom" wrapText="1"/>
    </xf>
    <xf borderId="1" fillId="2" fontId="12" numFmtId="0" xfId="0" applyAlignment="1" applyBorder="1" applyFont="1">
      <alignment horizontal="right" readingOrder="0" shrinkToFit="0" vertical="bottom" wrapText="1"/>
    </xf>
    <xf borderId="1" fillId="0" fontId="2" numFmtId="0" xfId="0" applyAlignment="1" applyBorder="1" applyFont="1">
      <alignment readingOrder="0"/>
    </xf>
    <xf borderId="1" fillId="2" fontId="2" numFmtId="0" xfId="0" applyAlignment="1" applyBorder="1" applyFont="1">
      <alignment shrinkToFit="0" wrapText="1"/>
    </xf>
    <xf borderId="0" fillId="0" fontId="24" numFmtId="0" xfId="0" applyAlignment="1" applyFont="1">
      <alignment readingOrder="0"/>
    </xf>
    <xf borderId="2" fillId="2" fontId="5" numFmtId="0" xfId="0" applyAlignment="1" applyBorder="1" applyFont="1">
      <alignment horizontal="center" readingOrder="0" shrinkToFit="0" vertical="bottom" wrapText="0"/>
    </xf>
    <xf borderId="1" fillId="2" fontId="4" numFmtId="0" xfId="0" applyAlignment="1" applyBorder="1" applyFont="1">
      <alignment horizontal="center" vertical="bottom"/>
    </xf>
    <xf borderId="0" fillId="0" fontId="2" numFmtId="0" xfId="0" applyAlignment="1" applyFont="1">
      <alignment readingOrder="0" shrinkToFit="0" wrapText="1"/>
    </xf>
    <xf borderId="0" fillId="0" fontId="2" numFmtId="0" xfId="0" applyAlignment="1" applyFont="1">
      <alignment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vestim.guru/obzory/kakoy-protsent-komissii-beret-yandeks-eda-s-restoranov" TargetMode="External"/><Relationship Id="rId2" Type="http://schemas.openxmlformats.org/officeDocument/2006/relationships/hyperlink" Target="https://plus.yandex.ru/action/watch-listen_60d_free" TargetMode="External"/><Relationship Id="rId3" Type="http://schemas.openxmlformats.org/officeDocument/2006/relationships/hyperlink" Target="https://shef.zendesk.com/hc/en-us/articles/4418866109335-Overview-of-Payments" TargetMode="External"/><Relationship Id="rId4" Type="http://schemas.openxmlformats.org/officeDocument/2006/relationships/hyperlink" Target="https://aws.amazon.com/premiumsupport/pricing/" TargetMode="External"/><Relationship Id="rId10" Type="http://schemas.openxmlformats.org/officeDocument/2006/relationships/drawing" Target="../drawings/drawing1.xml"/><Relationship Id="rId9" Type="http://schemas.openxmlformats.org/officeDocument/2006/relationships/hyperlink" Target="https://www.zakon.kz/finansy/6402287-sovety-dlya-biznesa-skolko-deneg-nuzhno-na-marketing-i-PR.html" TargetMode="External"/><Relationship Id="rId5" Type="http://schemas.openxmlformats.org/officeDocument/2006/relationships/hyperlink" Target="https://www.zakon.kz/finansy/6402287-sovety-dlya-biznesa-skolko-deneg-nuzhno-na-marketing-i-PR.html" TargetMode="External"/><Relationship Id="rId6" Type="http://schemas.openxmlformats.org/officeDocument/2006/relationships/hyperlink" Target="https://kz.bizorg.su/brending-r" TargetMode="External"/><Relationship Id="rId7" Type="http://schemas.openxmlformats.org/officeDocument/2006/relationships/hyperlink" Target="https://www.itsasap.com/blog/data-analytics-cost" TargetMode="External"/><Relationship Id="rId8" Type="http://schemas.openxmlformats.org/officeDocument/2006/relationships/hyperlink" Target="https://www.eldorado.ru/c/kompyutery/tag/dlya-servera/?utm_source=google&amp;utm_medium=organic&amp;utm_campaign=google&amp;utm_referrer=googl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6.25"/>
    <col customWidth="1" min="3" max="3" width="17.0"/>
    <col customWidth="1" min="4" max="4" width="26.5"/>
  </cols>
  <sheetData>
    <row r="1">
      <c r="A1" s="1" t="s">
        <v>0</v>
      </c>
      <c r="B1" s="2"/>
      <c r="C1" s="3"/>
      <c r="D1" s="2"/>
      <c r="E1" s="2"/>
      <c r="F1" s="2"/>
      <c r="G1" s="2"/>
      <c r="H1" s="2"/>
      <c r="I1" s="2"/>
    </row>
    <row r="2">
      <c r="A2" s="4"/>
      <c r="B2" s="2"/>
      <c r="C2" s="3"/>
      <c r="D2" s="2"/>
      <c r="E2" s="2"/>
      <c r="F2" s="2"/>
      <c r="G2" s="2"/>
      <c r="H2" s="2"/>
      <c r="I2" s="2"/>
    </row>
    <row r="3">
      <c r="A3" s="5"/>
      <c r="B3" s="2"/>
      <c r="C3" s="3" t="s">
        <v>1</v>
      </c>
      <c r="D3" s="2"/>
      <c r="E3" s="2"/>
      <c r="F3" s="2"/>
      <c r="G3" s="2"/>
      <c r="H3" s="2"/>
      <c r="I3" s="2"/>
    </row>
    <row r="4">
      <c r="A4" s="6" t="s">
        <v>2</v>
      </c>
      <c r="B4" s="7" t="s">
        <v>3</v>
      </c>
      <c r="C4" s="7" t="s">
        <v>4</v>
      </c>
      <c r="D4" s="7" t="s">
        <v>5</v>
      </c>
      <c r="E4" s="7" t="s">
        <v>6</v>
      </c>
      <c r="F4" s="7" t="s">
        <v>7</v>
      </c>
      <c r="G4" s="8"/>
      <c r="H4" s="8"/>
      <c r="I4" s="9"/>
    </row>
    <row r="5">
      <c r="A5" s="10" t="s">
        <v>8</v>
      </c>
      <c r="B5" s="11"/>
      <c r="C5" s="11"/>
      <c r="D5" s="11"/>
      <c r="E5" s="11"/>
      <c r="F5" s="12"/>
      <c r="G5" s="8"/>
      <c r="H5" s="8"/>
      <c r="I5" s="9"/>
    </row>
    <row r="6">
      <c r="A6" s="7" t="s">
        <v>9</v>
      </c>
      <c r="B6" s="7">
        <v>320.0</v>
      </c>
      <c r="C6" s="7">
        <v>320.0</v>
      </c>
      <c r="D6" s="7">
        <v>320.0</v>
      </c>
      <c r="E6" s="7">
        <v>320.0</v>
      </c>
      <c r="F6" s="7">
        <v>320.0</v>
      </c>
      <c r="G6" s="13"/>
      <c r="H6" s="14" t="s">
        <v>10</v>
      </c>
    </row>
    <row r="7">
      <c r="A7" s="7" t="s">
        <v>11</v>
      </c>
      <c r="B7" s="7">
        <v>18250.0</v>
      </c>
      <c r="C7" s="7">
        <v>36500.0</v>
      </c>
      <c r="D7" s="7">
        <v>109500.0</v>
      </c>
      <c r="E7" s="7">
        <v>212451.0</v>
      </c>
      <c r="F7" s="7">
        <v>365000.0</v>
      </c>
      <c r="G7" s="13"/>
      <c r="H7" s="15"/>
      <c r="I7" s="9"/>
    </row>
    <row r="8">
      <c r="A8" s="16" t="s">
        <v>12</v>
      </c>
      <c r="B8" s="11"/>
      <c r="C8" s="11"/>
      <c r="D8" s="11"/>
      <c r="E8" s="11"/>
      <c r="F8" s="12"/>
      <c r="G8" s="8"/>
      <c r="H8" s="8"/>
      <c r="I8" s="9"/>
    </row>
    <row r="9">
      <c r="A9" s="7" t="s">
        <v>13</v>
      </c>
      <c r="B9" s="7">
        <v>1200.0</v>
      </c>
      <c r="C9" s="7">
        <v>1200.0</v>
      </c>
      <c r="D9" s="7">
        <v>1200.0</v>
      </c>
      <c r="E9" s="7">
        <v>1200.0</v>
      </c>
      <c r="F9" s="7">
        <v>1200.0</v>
      </c>
      <c r="G9" s="13"/>
      <c r="H9" s="17" t="s">
        <v>10</v>
      </c>
    </row>
    <row r="10">
      <c r="A10" s="7" t="s">
        <v>14</v>
      </c>
      <c r="B10" s="7">
        <v>154.0</v>
      </c>
      <c r="C10" s="7">
        <v>182.0</v>
      </c>
      <c r="D10" s="7">
        <v>254.0</v>
      </c>
      <c r="E10" s="7">
        <v>395.0</v>
      </c>
      <c r="F10" s="7">
        <v>433.0</v>
      </c>
      <c r="G10" s="8"/>
      <c r="H10" s="17" t="s">
        <v>10</v>
      </c>
    </row>
    <row r="11">
      <c r="A11" s="7" t="s">
        <v>15</v>
      </c>
      <c r="B11" s="7">
        <v>10800.0</v>
      </c>
      <c r="C11" s="7">
        <v>10800.0</v>
      </c>
      <c r="D11" s="7">
        <v>10800.0</v>
      </c>
      <c r="E11" s="7">
        <v>10800.0</v>
      </c>
      <c r="F11" s="7">
        <v>10800.0</v>
      </c>
      <c r="G11" s="13"/>
      <c r="H11" s="18"/>
    </row>
    <row r="12">
      <c r="A12" s="7" t="s">
        <v>16</v>
      </c>
      <c r="B12" s="7">
        <v>26.0</v>
      </c>
      <c r="C12" s="7">
        <v>34.0</v>
      </c>
      <c r="D12" s="7">
        <v>45.0</v>
      </c>
      <c r="E12" s="7">
        <v>60.0</v>
      </c>
      <c r="F12" s="7">
        <v>72.0</v>
      </c>
      <c r="G12" s="8"/>
      <c r="H12" s="19"/>
      <c r="I12" s="20"/>
    </row>
    <row r="13">
      <c r="A13" s="6" t="s">
        <v>17</v>
      </c>
      <c r="B13" s="21">
        <f t="shared" ref="B13:F13" si="1">B6*B7+B9*B10+B11*B12</f>
        <v>6305600</v>
      </c>
      <c r="C13" s="21">
        <f t="shared" si="1"/>
        <v>12265600</v>
      </c>
      <c r="D13" s="21">
        <f t="shared" si="1"/>
        <v>35830800</v>
      </c>
      <c r="E13" s="21">
        <f t="shared" si="1"/>
        <v>69106320</v>
      </c>
      <c r="F13" s="21">
        <f t="shared" si="1"/>
        <v>118097200</v>
      </c>
      <c r="G13" s="8"/>
      <c r="H13" s="8"/>
      <c r="I13" s="9"/>
    </row>
    <row r="14" ht="17.25" customHeight="1">
      <c r="A14" s="22"/>
      <c r="B14" s="22"/>
      <c r="C14" s="22"/>
      <c r="D14" s="22"/>
      <c r="E14" s="22"/>
      <c r="F14" s="22"/>
      <c r="G14" s="22"/>
      <c r="H14" s="22"/>
      <c r="I14" s="22"/>
    </row>
    <row r="15" ht="17.25" customHeight="1">
      <c r="A15" s="22"/>
      <c r="B15" s="22"/>
      <c r="C15" s="22"/>
      <c r="D15" s="22"/>
      <c r="E15" s="22"/>
      <c r="F15" s="22"/>
      <c r="G15" s="22"/>
      <c r="H15" s="22"/>
      <c r="I15" s="22"/>
    </row>
    <row r="16">
      <c r="A16" s="23" t="s">
        <v>18</v>
      </c>
      <c r="B16" s="11"/>
      <c r="C16" s="11"/>
      <c r="D16" s="11"/>
      <c r="E16" s="11"/>
      <c r="F16" s="11"/>
      <c r="G16" s="12"/>
      <c r="H16" s="24"/>
      <c r="I16" s="24"/>
    </row>
    <row r="17">
      <c r="A17" s="25" t="s">
        <v>19</v>
      </c>
      <c r="B17" s="26" t="s">
        <v>20</v>
      </c>
      <c r="C17" s="26" t="s">
        <v>3</v>
      </c>
      <c r="D17" s="26" t="s">
        <v>4</v>
      </c>
      <c r="E17" s="26" t="s">
        <v>5</v>
      </c>
      <c r="F17" s="26" t="s">
        <v>6</v>
      </c>
      <c r="G17" s="27" t="s">
        <v>7</v>
      </c>
      <c r="H17" s="24"/>
      <c r="I17" s="24"/>
    </row>
    <row r="18">
      <c r="A18" s="25" t="s">
        <v>21</v>
      </c>
      <c r="B18" s="28"/>
      <c r="C18" s="28"/>
      <c r="D18" s="28"/>
      <c r="E18" s="28"/>
      <c r="F18" s="28"/>
      <c r="G18" s="28"/>
      <c r="H18" s="24"/>
      <c r="I18" s="24"/>
    </row>
    <row r="19">
      <c r="A19" s="29" t="s">
        <v>22</v>
      </c>
      <c r="B19" s="30">
        <v>2.5E7</v>
      </c>
      <c r="C19" s="31">
        <f>35000000+(B89+B86)</f>
        <v>5292720</v>
      </c>
      <c r="D19" s="31">
        <f>-(C89+C86)</f>
        <v>19495280</v>
      </c>
      <c r="E19" s="31">
        <f t="shared" ref="E19:G19" si="2">(D89+D86)</f>
        <v>262960</v>
      </c>
      <c r="F19" s="31">
        <f t="shared" si="2"/>
        <v>30713584</v>
      </c>
      <c r="G19" s="31">
        <f t="shared" si="2"/>
        <v>55231760</v>
      </c>
      <c r="H19" s="24"/>
      <c r="I19" s="24"/>
    </row>
    <row r="20">
      <c r="A20" s="25" t="s">
        <v>23</v>
      </c>
      <c r="B20" s="30">
        <f t="shared" ref="B20:G20" si="3">B19</f>
        <v>25000000</v>
      </c>
      <c r="C20" s="31">
        <f t="shared" si="3"/>
        <v>5292720</v>
      </c>
      <c r="D20" s="31">
        <f t="shared" si="3"/>
        <v>19495280</v>
      </c>
      <c r="E20" s="31">
        <f t="shared" si="3"/>
        <v>262960</v>
      </c>
      <c r="F20" s="31">
        <f t="shared" si="3"/>
        <v>30713584</v>
      </c>
      <c r="G20" s="31">
        <f t="shared" si="3"/>
        <v>55231760</v>
      </c>
      <c r="H20" s="24"/>
      <c r="I20" s="24"/>
    </row>
    <row r="21">
      <c r="A21" s="25" t="s">
        <v>24</v>
      </c>
      <c r="B21" s="28"/>
      <c r="C21" s="28"/>
      <c r="D21" s="28"/>
      <c r="E21" s="28"/>
      <c r="F21" s="28"/>
      <c r="G21" s="28"/>
      <c r="H21" s="24"/>
      <c r="I21" s="24"/>
    </row>
    <row r="22">
      <c r="A22" s="29" t="s">
        <v>25</v>
      </c>
      <c r="B22" s="30">
        <v>0.0</v>
      </c>
      <c r="C22" s="32">
        <f>-(B67-B78)</f>
        <v>2650000</v>
      </c>
      <c r="D22" s="31">
        <f>-(B67+C67-C78)</f>
        <v>2650000</v>
      </c>
      <c r="E22" s="31">
        <f>-(B67+C67+D67-D78)</f>
        <v>3150000</v>
      </c>
      <c r="F22" s="31">
        <f>-(B67+C67+D67+E67-E78)</f>
        <v>3150000</v>
      </c>
      <c r="G22" s="31">
        <f>-(B67+C67+D67+E67+F67-F78)</f>
        <v>3150000</v>
      </c>
      <c r="H22" s="24"/>
      <c r="I22" s="24"/>
    </row>
    <row r="23">
      <c r="A23" s="25" t="s">
        <v>26</v>
      </c>
      <c r="B23" s="30">
        <v>0.0</v>
      </c>
      <c r="C23" s="32">
        <f t="shared" ref="C23:G23" si="4">C22</f>
        <v>2650000</v>
      </c>
      <c r="D23" s="31">
        <f t="shared" si="4"/>
        <v>2650000</v>
      </c>
      <c r="E23" s="31">
        <f t="shared" si="4"/>
        <v>3150000</v>
      </c>
      <c r="F23" s="31">
        <f t="shared" si="4"/>
        <v>3150000</v>
      </c>
      <c r="G23" s="31">
        <f t="shared" si="4"/>
        <v>3150000</v>
      </c>
      <c r="H23" s="24"/>
      <c r="I23" s="24"/>
    </row>
    <row r="24">
      <c r="A24" s="25" t="s">
        <v>27</v>
      </c>
      <c r="B24" s="30">
        <f>B23+B20</f>
        <v>25000000</v>
      </c>
      <c r="C24" s="31">
        <f t="shared" ref="C24:D24" si="5">C20+C23</f>
        <v>7942720</v>
      </c>
      <c r="D24" s="31">
        <f t="shared" si="5"/>
        <v>22145280</v>
      </c>
      <c r="E24" s="30" t="s">
        <v>28</v>
      </c>
      <c r="F24" s="30" t="s">
        <v>29</v>
      </c>
      <c r="G24" s="30" t="s">
        <v>30</v>
      </c>
      <c r="H24" s="24"/>
      <c r="I24" s="24"/>
    </row>
    <row r="25">
      <c r="A25" s="33"/>
      <c r="B25" s="34"/>
      <c r="C25" s="34"/>
      <c r="D25" s="34"/>
      <c r="E25" s="34"/>
      <c r="F25" s="34"/>
      <c r="G25" s="34"/>
      <c r="H25" s="24"/>
      <c r="I25" s="24"/>
    </row>
    <row r="26">
      <c r="A26" s="25" t="s">
        <v>31</v>
      </c>
      <c r="B26" s="29" t="s">
        <v>20</v>
      </c>
      <c r="C26" s="29" t="s">
        <v>3</v>
      </c>
      <c r="D26" s="29" t="s">
        <v>4</v>
      </c>
      <c r="E26" s="29" t="s">
        <v>5</v>
      </c>
      <c r="F26" s="29" t="s">
        <v>6</v>
      </c>
      <c r="G26" s="29" t="s">
        <v>7</v>
      </c>
      <c r="H26" s="24"/>
      <c r="I26" s="24"/>
    </row>
    <row r="27">
      <c r="A27" s="29" t="s">
        <v>32</v>
      </c>
      <c r="B27" s="30" t="s">
        <v>33</v>
      </c>
      <c r="C27" s="31">
        <f t="shared" ref="C27:G27" si="6">C24</f>
        <v>7942720</v>
      </c>
      <c r="D27" s="31">
        <f t="shared" si="6"/>
        <v>22145280</v>
      </c>
      <c r="E27" s="30" t="str">
        <f t="shared" si="6"/>
        <v>5 849 502,67</v>
      </c>
      <c r="F27" s="30" t="str">
        <f t="shared" si="6"/>
        <v>6 592 196,51</v>
      </c>
      <c r="G27" s="30" t="str">
        <f t="shared" si="6"/>
        <v>13 663 326,20</v>
      </c>
      <c r="H27" s="24"/>
      <c r="I27" s="24"/>
    </row>
    <row r="28">
      <c r="A28" s="25" t="s">
        <v>34</v>
      </c>
      <c r="B28" s="30" t="s">
        <v>33</v>
      </c>
      <c r="C28" s="31">
        <f t="shared" ref="C28:G28" si="7">C27</f>
        <v>7942720</v>
      </c>
      <c r="D28" s="31">
        <f t="shared" si="7"/>
        <v>22145280</v>
      </c>
      <c r="E28" s="30" t="str">
        <f t="shared" si="7"/>
        <v>5 849 502,67</v>
      </c>
      <c r="F28" s="30" t="str">
        <f t="shared" si="7"/>
        <v>6 592 196,51</v>
      </c>
      <c r="G28" s="30" t="str">
        <f t="shared" si="7"/>
        <v>13 663 326,20</v>
      </c>
      <c r="H28" s="24"/>
      <c r="I28" s="24"/>
    </row>
    <row r="29">
      <c r="A29" s="35" t="s">
        <v>35</v>
      </c>
      <c r="B29" s="35">
        <v>0.0</v>
      </c>
      <c r="C29" s="35">
        <v>1.0E7</v>
      </c>
      <c r="D29" s="36"/>
      <c r="E29" s="24"/>
      <c r="F29" s="24"/>
      <c r="G29" s="24"/>
      <c r="H29" s="24"/>
      <c r="I29" s="24"/>
    </row>
    <row r="30">
      <c r="A30" s="37" t="s">
        <v>36</v>
      </c>
      <c r="B30" s="38"/>
      <c r="C30" s="39"/>
      <c r="D30" s="24"/>
      <c r="E30" s="39" t="s">
        <v>37</v>
      </c>
      <c r="F30" s="24"/>
      <c r="G30" s="24"/>
      <c r="H30" s="24"/>
      <c r="I30" s="24"/>
    </row>
    <row r="31">
      <c r="A31" s="40" t="s">
        <v>38</v>
      </c>
      <c r="B31" s="41" t="s">
        <v>39</v>
      </c>
      <c r="C31" s="24"/>
      <c r="D31" s="42" t="s">
        <v>38</v>
      </c>
      <c r="E31" s="41" t="s">
        <v>3</v>
      </c>
      <c r="F31" s="41" t="s">
        <v>4</v>
      </c>
      <c r="G31" s="41" t="s">
        <v>5</v>
      </c>
      <c r="H31" s="41" t="s">
        <v>6</v>
      </c>
      <c r="I31" s="41" t="s">
        <v>7</v>
      </c>
    </row>
    <row r="32">
      <c r="A32" s="41" t="s">
        <v>40</v>
      </c>
      <c r="B32" s="43">
        <v>250000.0</v>
      </c>
      <c r="C32" s="24"/>
      <c r="D32" s="41" t="s">
        <v>40</v>
      </c>
      <c r="E32" s="44">
        <v>1.0</v>
      </c>
      <c r="F32" s="44">
        <v>2.0</v>
      </c>
      <c r="G32" s="44">
        <v>2.0</v>
      </c>
      <c r="H32" s="44">
        <v>3.0</v>
      </c>
      <c r="I32" s="44">
        <v>3.0</v>
      </c>
    </row>
    <row r="33">
      <c r="A33" s="45" t="s">
        <v>41</v>
      </c>
      <c r="B33" s="46">
        <v>400000.0</v>
      </c>
      <c r="C33" s="24"/>
      <c r="D33" s="45" t="s">
        <v>41</v>
      </c>
      <c r="E33" s="47">
        <v>1.0</v>
      </c>
      <c r="F33" s="47">
        <v>0.0</v>
      </c>
      <c r="G33" s="47">
        <v>0.0</v>
      </c>
      <c r="H33" s="47">
        <v>0.0</v>
      </c>
      <c r="I33" s="47">
        <v>0.0</v>
      </c>
    </row>
    <row r="34">
      <c r="A34" s="45" t="s">
        <v>42</v>
      </c>
      <c r="B34" s="43">
        <v>200000.0</v>
      </c>
      <c r="C34" s="24"/>
      <c r="D34" s="45" t="s">
        <v>42</v>
      </c>
      <c r="E34" s="48">
        <v>1.0</v>
      </c>
      <c r="F34" s="44">
        <v>1.0</v>
      </c>
      <c r="G34" s="44">
        <v>1.0</v>
      </c>
      <c r="H34" s="44">
        <v>1.0</v>
      </c>
      <c r="I34" s="44">
        <v>2.0</v>
      </c>
    </row>
    <row r="35">
      <c r="A35" s="45" t="s">
        <v>43</v>
      </c>
      <c r="B35" s="49">
        <v>300000.0</v>
      </c>
      <c r="C35" s="24"/>
      <c r="D35" s="45" t="s">
        <v>43</v>
      </c>
      <c r="E35" s="44">
        <v>1.0</v>
      </c>
      <c r="F35" s="44">
        <v>2.0</v>
      </c>
      <c r="G35" s="44">
        <v>3.0</v>
      </c>
      <c r="H35" s="44">
        <v>4.0</v>
      </c>
      <c r="I35" s="44">
        <v>4.0</v>
      </c>
    </row>
    <row r="36">
      <c r="A36" s="45" t="s">
        <v>44</v>
      </c>
      <c r="B36" s="43">
        <v>150000.0</v>
      </c>
      <c r="C36" s="24"/>
      <c r="D36" s="45" t="s">
        <v>44</v>
      </c>
      <c r="E36" s="48">
        <v>1.0</v>
      </c>
      <c r="F36" s="44">
        <v>1.0</v>
      </c>
      <c r="G36" s="44">
        <v>1.0</v>
      </c>
      <c r="H36" s="44">
        <v>2.0</v>
      </c>
      <c r="I36" s="44">
        <v>2.0</v>
      </c>
    </row>
    <row r="37">
      <c r="A37" s="45" t="s">
        <v>45</v>
      </c>
      <c r="B37" s="43">
        <v>200000.0</v>
      </c>
      <c r="C37" s="24"/>
      <c r="D37" s="45" t="s">
        <v>45</v>
      </c>
      <c r="E37" s="48">
        <v>1.0</v>
      </c>
      <c r="F37" s="48">
        <v>1.0</v>
      </c>
      <c r="G37" s="48">
        <v>1.0</v>
      </c>
      <c r="H37" s="44">
        <v>1.0</v>
      </c>
      <c r="I37" s="44">
        <v>1.0</v>
      </c>
    </row>
    <row r="38">
      <c r="A38" s="45" t="s">
        <v>46</v>
      </c>
      <c r="B38" s="49">
        <v>250000.0</v>
      </c>
      <c r="C38" s="24"/>
      <c r="D38" s="45" t="s">
        <v>46</v>
      </c>
      <c r="E38" s="44">
        <v>1.0</v>
      </c>
      <c r="F38" s="44">
        <v>1.0</v>
      </c>
      <c r="G38" s="44">
        <v>2.0</v>
      </c>
      <c r="H38" s="44">
        <v>2.0</v>
      </c>
      <c r="I38" s="44">
        <v>3.0</v>
      </c>
    </row>
    <row r="39">
      <c r="A39" s="41" t="s">
        <v>47</v>
      </c>
      <c r="B39" s="49">
        <v>200000.0</v>
      </c>
      <c r="C39" s="24"/>
      <c r="D39" s="50" t="s">
        <v>47</v>
      </c>
      <c r="E39" s="48">
        <v>1.0</v>
      </c>
      <c r="F39" s="48">
        <v>1.0</v>
      </c>
      <c r="G39" s="48">
        <v>1.0</v>
      </c>
      <c r="H39" s="48">
        <v>1.0</v>
      </c>
      <c r="I39" s="48">
        <v>1.0</v>
      </c>
    </row>
    <row r="40">
      <c r="A40" s="51"/>
      <c r="B40" s="52"/>
    </row>
    <row r="41">
      <c r="A41" s="1" t="s">
        <v>48</v>
      </c>
      <c r="B41" s="52"/>
    </row>
    <row r="43">
      <c r="A43" s="53" t="s">
        <v>49</v>
      </c>
      <c r="B43" s="41" t="s">
        <v>3</v>
      </c>
      <c r="C43" s="41" t="s">
        <v>4</v>
      </c>
      <c r="D43" s="41" t="s">
        <v>5</v>
      </c>
      <c r="E43" s="41" t="s">
        <v>6</v>
      </c>
      <c r="F43" s="41" t="s">
        <v>7</v>
      </c>
    </row>
    <row r="44">
      <c r="A44" s="41" t="s">
        <v>40</v>
      </c>
      <c r="B44" s="54">
        <f t="shared" ref="B44:B51" si="8">-B32*E32*12 </f>
        <v>-3000000</v>
      </c>
      <c r="C44" s="54">
        <f t="shared" ref="C44:C51" si="9">-B32*F32*12 </f>
        <v>-6000000</v>
      </c>
      <c r="D44" s="54">
        <f t="shared" ref="D44:D51" si="10">-B32*G32*12 </f>
        <v>-6000000</v>
      </c>
      <c r="E44" s="54">
        <f t="shared" ref="E44:E51" si="11">-B32*H32*12 </f>
        <v>-9000000</v>
      </c>
      <c r="F44" s="54">
        <f t="shared" ref="F44:F51" si="12">-B32*I32*12 </f>
        <v>-9000000</v>
      </c>
    </row>
    <row r="45">
      <c r="A45" s="45" t="s">
        <v>41</v>
      </c>
      <c r="B45" s="54">
        <f t="shared" si="8"/>
        <v>-4800000</v>
      </c>
      <c r="C45" s="54">
        <f t="shared" si="9"/>
        <v>0</v>
      </c>
      <c r="D45" s="54">
        <f t="shared" si="10"/>
        <v>0</v>
      </c>
      <c r="E45" s="54">
        <f t="shared" si="11"/>
        <v>0</v>
      </c>
      <c r="F45" s="54">
        <f t="shared" si="12"/>
        <v>0</v>
      </c>
    </row>
    <row r="46">
      <c r="A46" s="45" t="s">
        <v>42</v>
      </c>
      <c r="B46" s="54">
        <f t="shared" si="8"/>
        <v>-2400000</v>
      </c>
      <c r="C46" s="54">
        <f t="shared" si="9"/>
        <v>-2400000</v>
      </c>
      <c r="D46" s="54">
        <f t="shared" si="10"/>
        <v>-2400000</v>
      </c>
      <c r="E46" s="54">
        <f t="shared" si="11"/>
        <v>-2400000</v>
      </c>
      <c r="F46" s="54">
        <f t="shared" si="12"/>
        <v>-4800000</v>
      </c>
    </row>
    <row r="47">
      <c r="A47" s="45" t="s">
        <v>43</v>
      </c>
      <c r="B47" s="54">
        <f t="shared" si="8"/>
        <v>-3600000</v>
      </c>
      <c r="C47" s="54">
        <f t="shared" si="9"/>
        <v>-7200000</v>
      </c>
      <c r="D47" s="54">
        <f t="shared" si="10"/>
        <v>-10800000</v>
      </c>
      <c r="E47" s="54">
        <f t="shared" si="11"/>
        <v>-14400000</v>
      </c>
      <c r="F47" s="54">
        <f t="shared" si="12"/>
        <v>-14400000</v>
      </c>
    </row>
    <row r="48">
      <c r="A48" s="45" t="s">
        <v>44</v>
      </c>
      <c r="B48" s="54">
        <f t="shared" si="8"/>
        <v>-1800000</v>
      </c>
      <c r="C48" s="54">
        <f t="shared" si="9"/>
        <v>-1800000</v>
      </c>
      <c r="D48" s="54">
        <f t="shared" si="10"/>
        <v>-1800000</v>
      </c>
      <c r="E48" s="54">
        <f t="shared" si="11"/>
        <v>-3600000</v>
      </c>
      <c r="F48" s="54">
        <f t="shared" si="12"/>
        <v>-3600000</v>
      </c>
    </row>
    <row r="49">
      <c r="A49" s="45" t="s">
        <v>45</v>
      </c>
      <c r="B49" s="54">
        <f t="shared" si="8"/>
        <v>-2400000</v>
      </c>
      <c r="C49" s="54">
        <f t="shared" si="9"/>
        <v>-2400000</v>
      </c>
      <c r="D49" s="54">
        <f t="shared" si="10"/>
        <v>-2400000</v>
      </c>
      <c r="E49" s="54">
        <f t="shared" si="11"/>
        <v>-2400000</v>
      </c>
      <c r="F49" s="54">
        <f t="shared" si="12"/>
        <v>-2400000</v>
      </c>
    </row>
    <row r="50">
      <c r="A50" s="45" t="s">
        <v>46</v>
      </c>
      <c r="B50" s="54">
        <f t="shared" si="8"/>
        <v>-3000000</v>
      </c>
      <c r="C50" s="54">
        <f t="shared" si="9"/>
        <v>-3000000</v>
      </c>
      <c r="D50" s="54">
        <f t="shared" si="10"/>
        <v>-6000000</v>
      </c>
      <c r="E50" s="54">
        <f t="shared" si="11"/>
        <v>-6000000</v>
      </c>
      <c r="F50" s="54">
        <f t="shared" si="12"/>
        <v>-9000000</v>
      </c>
    </row>
    <row r="51">
      <c r="A51" s="41" t="s">
        <v>47</v>
      </c>
      <c r="B51" s="54">
        <f t="shared" si="8"/>
        <v>-2400000</v>
      </c>
      <c r="C51" s="54">
        <f t="shared" si="9"/>
        <v>-2400000</v>
      </c>
      <c r="D51" s="54">
        <f t="shared" si="10"/>
        <v>-2400000</v>
      </c>
      <c r="E51" s="54">
        <f t="shared" si="11"/>
        <v>-2400000</v>
      </c>
      <c r="F51" s="54">
        <f t="shared" si="12"/>
        <v>-2400000</v>
      </c>
    </row>
    <row r="52">
      <c r="A52" s="55" t="s">
        <v>50</v>
      </c>
      <c r="B52" s="56">
        <f t="shared" ref="B52:F52" si="13">SUM(B44:B51)</f>
        <v>-23400000</v>
      </c>
      <c r="C52" s="56">
        <f t="shared" si="13"/>
        <v>-25200000</v>
      </c>
      <c r="D52" s="56">
        <f t="shared" si="13"/>
        <v>-31800000</v>
      </c>
      <c r="E52" s="56">
        <f t="shared" si="13"/>
        <v>-40200000</v>
      </c>
      <c r="F52" s="56">
        <f t="shared" si="13"/>
        <v>-45600000</v>
      </c>
    </row>
    <row r="53">
      <c r="A53" s="24"/>
      <c r="B53" s="24"/>
      <c r="C53" s="24"/>
      <c r="D53" s="24"/>
      <c r="E53" s="24"/>
      <c r="F53" s="24"/>
    </row>
    <row r="54">
      <c r="A54" s="40" t="s">
        <v>51</v>
      </c>
      <c r="B54" s="41" t="s">
        <v>3</v>
      </c>
      <c r="C54" s="41" t="s">
        <v>4</v>
      </c>
      <c r="D54" s="41" t="s">
        <v>5</v>
      </c>
      <c r="E54" s="41" t="s">
        <v>6</v>
      </c>
      <c r="F54" s="41" t="s">
        <v>7</v>
      </c>
      <c r="G54" s="57"/>
    </row>
    <row r="55">
      <c r="A55" s="41" t="s">
        <v>52</v>
      </c>
      <c r="B55" s="49">
        <v>-3000000.0</v>
      </c>
      <c r="C55" s="49">
        <v>-3000000.0</v>
      </c>
      <c r="D55" s="49">
        <v>-3000000.0</v>
      </c>
      <c r="E55" s="49">
        <v>-3000000.0</v>
      </c>
      <c r="F55" s="49">
        <v>-3000000.0</v>
      </c>
      <c r="G55" s="57"/>
      <c r="H55" s="58"/>
      <c r="I55" s="58"/>
      <c r="J55" s="58"/>
      <c r="K55" s="58"/>
      <c r="L55" s="58"/>
      <c r="M55" s="58"/>
      <c r="N55" s="58"/>
      <c r="O55" s="58"/>
      <c r="P55" s="58"/>
      <c r="Q55" s="58"/>
      <c r="R55" s="58"/>
      <c r="S55" s="58"/>
      <c r="T55" s="58"/>
      <c r="U55" s="58"/>
      <c r="V55" s="58"/>
      <c r="W55" s="58"/>
      <c r="X55" s="58"/>
      <c r="Y55" s="58"/>
      <c r="Z55" s="58"/>
    </row>
    <row r="56">
      <c r="A56" s="41" t="s">
        <v>53</v>
      </c>
      <c r="B56" s="43">
        <f t="shared" ref="B56:F56" si="14">B52</f>
        <v>-23400000</v>
      </c>
      <c r="C56" s="43">
        <f t="shared" si="14"/>
        <v>-25200000</v>
      </c>
      <c r="D56" s="43">
        <f t="shared" si="14"/>
        <v>-31800000</v>
      </c>
      <c r="E56" s="43">
        <f t="shared" si="14"/>
        <v>-40200000</v>
      </c>
      <c r="F56" s="43">
        <f t="shared" si="14"/>
        <v>-45600000</v>
      </c>
      <c r="G56" s="57"/>
    </row>
    <row r="57">
      <c r="A57" s="45" t="s">
        <v>54</v>
      </c>
      <c r="B57" s="59">
        <v>-120000.0</v>
      </c>
      <c r="C57" s="59">
        <v>-120000.0</v>
      </c>
      <c r="D57" s="59">
        <v>-120000.0</v>
      </c>
      <c r="E57" s="59">
        <v>-120000.0</v>
      </c>
      <c r="F57" s="59">
        <v>-120000.0</v>
      </c>
      <c r="G57" s="60" t="s">
        <v>55</v>
      </c>
    </row>
    <row r="58">
      <c r="A58" s="45" t="s">
        <v>56</v>
      </c>
      <c r="B58" s="49">
        <v>-3000000.0</v>
      </c>
      <c r="C58" s="49">
        <v>-1500000.0</v>
      </c>
      <c r="D58" s="49">
        <v>-1500000.0</v>
      </c>
      <c r="E58" s="49">
        <v>-1500000.0</v>
      </c>
      <c r="F58" s="49">
        <v>-1500000.0</v>
      </c>
      <c r="G58" s="61" t="s">
        <v>55</v>
      </c>
      <c r="I58" s="62"/>
    </row>
    <row r="59">
      <c r="A59" s="41" t="s">
        <v>57</v>
      </c>
      <c r="B59" s="43">
        <v>-500000.0</v>
      </c>
      <c r="C59" s="43">
        <v>-500000.0</v>
      </c>
      <c r="D59" s="43">
        <v>-500000.0</v>
      </c>
      <c r="E59" s="43">
        <v>-500000.0</v>
      </c>
      <c r="F59" s="43">
        <v>-500000.0</v>
      </c>
      <c r="G59" s="63" t="s">
        <v>55</v>
      </c>
    </row>
    <row r="60">
      <c r="A60" s="45" t="s">
        <v>58</v>
      </c>
      <c r="B60" s="49">
        <v>-400000.0</v>
      </c>
      <c r="C60" s="43">
        <v>-550000.0</v>
      </c>
      <c r="D60" s="43">
        <v>-550000.0</v>
      </c>
      <c r="E60" s="43">
        <v>-550000.0</v>
      </c>
      <c r="F60" s="43">
        <v>-550000.0</v>
      </c>
      <c r="G60" s="60" t="s">
        <v>55</v>
      </c>
    </row>
    <row r="61">
      <c r="A61" s="40" t="s">
        <v>59</v>
      </c>
      <c r="B61" s="43">
        <f t="shared" ref="B61:F61" si="15">SUM(B56:B60)</f>
        <v>-27420000</v>
      </c>
      <c r="C61" s="43">
        <f t="shared" si="15"/>
        <v>-27870000</v>
      </c>
      <c r="D61" s="43">
        <f t="shared" si="15"/>
        <v>-34470000</v>
      </c>
      <c r="E61" s="43">
        <f t="shared" si="15"/>
        <v>-42870000</v>
      </c>
      <c r="F61" s="43">
        <f t="shared" si="15"/>
        <v>-48270000</v>
      </c>
      <c r="G61" s="57"/>
    </row>
    <row r="62">
      <c r="A62" s="24"/>
      <c r="B62" s="24"/>
      <c r="C62" s="24"/>
      <c r="D62" s="24"/>
      <c r="E62" s="24"/>
      <c r="F62" s="24"/>
    </row>
    <row r="63">
      <c r="A63" s="24"/>
      <c r="B63" s="24"/>
      <c r="C63" s="24"/>
      <c r="D63" s="24"/>
      <c r="E63" s="24"/>
      <c r="F63" s="24"/>
    </row>
    <row r="64">
      <c r="A64" s="40" t="s">
        <v>60</v>
      </c>
      <c r="B64" s="41" t="s">
        <v>3</v>
      </c>
      <c r="C64" s="41" t="s">
        <v>4</v>
      </c>
      <c r="D64" s="41" t="s">
        <v>5</v>
      </c>
      <c r="E64" s="41" t="s">
        <v>6</v>
      </c>
      <c r="F64" s="41" t="s">
        <v>7</v>
      </c>
    </row>
    <row r="65">
      <c r="A65" s="41" t="s">
        <v>61</v>
      </c>
      <c r="B65" s="43">
        <v>-500000.0</v>
      </c>
      <c r="C65" s="43">
        <v>0.0</v>
      </c>
      <c r="D65" s="43">
        <v>0.0</v>
      </c>
      <c r="E65" s="43">
        <v>0.0</v>
      </c>
      <c r="F65" s="43">
        <v>0.0</v>
      </c>
    </row>
    <row r="66">
      <c r="A66" s="41" t="s">
        <v>62</v>
      </c>
      <c r="B66" s="43">
        <v>-2500000.0</v>
      </c>
      <c r="C66" s="43">
        <v>0.0</v>
      </c>
      <c r="D66" s="43">
        <v>-500000.0</v>
      </c>
      <c r="E66" s="43">
        <v>0.0</v>
      </c>
      <c r="F66" s="43">
        <v>0.0</v>
      </c>
    </row>
    <row r="67">
      <c r="A67" s="40" t="s">
        <v>63</v>
      </c>
      <c r="B67" s="43">
        <f t="shared" ref="B67:F67" si="16">SUM(B65:B66)</f>
        <v>-3000000</v>
      </c>
      <c r="C67" s="43">
        <f t="shared" si="16"/>
        <v>0</v>
      </c>
      <c r="D67" s="43">
        <f t="shared" si="16"/>
        <v>-500000</v>
      </c>
      <c r="E67" s="43">
        <f t="shared" si="16"/>
        <v>0</v>
      </c>
      <c r="F67" s="43">
        <f t="shared" si="16"/>
        <v>0</v>
      </c>
    </row>
    <row r="68">
      <c r="A68" s="40" t="s">
        <v>64</v>
      </c>
      <c r="B68" s="43">
        <f t="shared" ref="B68:F68" si="17">B61+B67</f>
        <v>-30420000</v>
      </c>
      <c r="C68" s="43">
        <f t="shared" si="17"/>
        <v>-27870000</v>
      </c>
      <c r="D68" s="43">
        <f t="shared" si="17"/>
        <v>-34970000</v>
      </c>
      <c r="E68" s="43">
        <f t="shared" si="17"/>
        <v>-42870000</v>
      </c>
      <c r="F68" s="43">
        <f t="shared" si="17"/>
        <v>-48270000</v>
      </c>
    </row>
    <row r="71">
      <c r="A71" s="64" t="s">
        <v>65</v>
      </c>
      <c r="B71" s="65" t="s">
        <v>66</v>
      </c>
      <c r="C71" s="65" t="s">
        <v>67</v>
      </c>
      <c r="D71" s="65" t="s">
        <v>68</v>
      </c>
      <c r="E71" s="66" t="s">
        <v>69</v>
      </c>
    </row>
    <row r="72">
      <c r="A72" s="65" t="s">
        <v>70</v>
      </c>
      <c r="B72" s="67">
        <v>2500000.0</v>
      </c>
      <c r="C72" s="68">
        <v>750000.0</v>
      </c>
      <c r="D72" s="69">
        <v>5.0</v>
      </c>
      <c r="E72" s="70">
        <f>(B72-C72)/D72</f>
        <v>350000</v>
      </c>
      <c r="G72" s="71" t="s">
        <v>71</v>
      </c>
    </row>
    <row r="75">
      <c r="A75" s="72" t="s">
        <v>72</v>
      </c>
      <c r="B75" s="11"/>
      <c r="C75" s="11"/>
      <c r="D75" s="11"/>
      <c r="E75" s="11"/>
      <c r="F75" s="12"/>
    </row>
    <row r="76">
      <c r="A76" s="26" t="s">
        <v>65</v>
      </c>
      <c r="B76" s="26" t="s">
        <v>3</v>
      </c>
      <c r="C76" s="26" t="s">
        <v>4</v>
      </c>
      <c r="D76" s="26" t="s">
        <v>5</v>
      </c>
      <c r="E76" s="26" t="s">
        <v>6</v>
      </c>
      <c r="F76" s="26" t="s">
        <v>7</v>
      </c>
    </row>
    <row r="77">
      <c r="A77" s="26" t="s">
        <v>70</v>
      </c>
      <c r="B77" s="30">
        <v>-350000.0</v>
      </c>
      <c r="C77" s="30">
        <f t="shared" ref="C77:F77" si="18">-$E$72</f>
        <v>-350000</v>
      </c>
      <c r="D77" s="30">
        <f t="shared" si="18"/>
        <v>-350000</v>
      </c>
      <c r="E77" s="30">
        <f t="shared" si="18"/>
        <v>-350000</v>
      </c>
      <c r="F77" s="30">
        <f t="shared" si="18"/>
        <v>-350000</v>
      </c>
    </row>
    <row r="78">
      <c r="A78" s="25" t="s">
        <v>17</v>
      </c>
      <c r="B78" s="30">
        <f t="shared" ref="B78:F78" si="19">SUM(B77)</f>
        <v>-350000</v>
      </c>
      <c r="C78" s="30">
        <f t="shared" si="19"/>
        <v>-350000</v>
      </c>
      <c r="D78" s="30">
        <f t="shared" si="19"/>
        <v>-350000</v>
      </c>
      <c r="E78" s="30">
        <f t="shared" si="19"/>
        <v>-350000</v>
      </c>
      <c r="F78" s="30">
        <f t="shared" si="19"/>
        <v>-350000</v>
      </c>
    </row>
    <row r="79">
      <c r="B79" s="71" t="s">
        <v>73</v>
      </c>
    </row>
    <row r="82">
      <c r="A82" s="40" t="s">
        <v>74</v>
      </c>
      <c r="B82" s="41" t="s">
        <v>3</v>
      </c>
      <c r="C82" s="41" t="s">
        <v>4</v>
      </c>
      <c r="D82" s="41" t="s">
        <v>5</v>
      </c>
      <c r="E82" s="41" t="s">
        <v>6</v>
      </c>
      <c r="F82" s="73" t="s">
        <v>7</v>
      </c>
    </row>
    <row r="83">
      <c r="A83" s="41" t="s">
        <v>75</v>
      </c>
      <c r="B83" s="43">
        <f t="shared" ref="B83:F83" si="20">B13</f>
        <v>6305600</v>
      </c>
      <c r="C83" s="43">
        <f t="shared" si="20"/>
        <v>12265600</v>
      </c>
      <c r="D83" s="43">
        <f t="shared" si="20"/>
        <v>35830800</v>
      </c>
      <c r="E83" s="43">
        <f t="shared" si="20"/>
        <v>69106320</v>
      </c>
      <c r="F83" s="43">
        <f t="shared" si="20"/>
        <v>118097200</v>
      </c>
    </row>
    <row r="84">
      <c r="A84" s="41" t="s">
        <v>76</v>
      </c>
      <c r="B84" s="43">
        <f t="shared" ref="B84:F84" si="21">B83</f>
        <v>6305600</v>
      </c>
      <c r="C84" s="43">
        <f t="shared" si="21"/>
        <v>12265600</v>
      </c>
      <c r="D84" s="43">
        <f t="shared" si="21"/>
        <v>35830800</v>
      </c>
      <c r="E84" s="43">
        <f t="shared" si="21"/>
        <v>69106320</v>
      </c>
      <c r="F84" s="43">
        <f t="shared" si="21"/>
        <v>118097200</v>
      </c>
    </row>
    <row r="85">
      <c r="A85" s="41" t="s">
        <v>77</v>
      </c>
      <c r="B85" s="43">
        <f t="shared" ref="B85:F85" si="22">B68</f>
        <v>-30420000</v>
      </c>
      <c r="C85" s="43">
        <f t="shared" si="22"/>
        <v>-27870000</v>
      </c>
      <c r="D85" s="43">
        <f t="shared" si="22"/>
        <v>-34970000</v>
      </c>
      <c r="E85" s="43">
        <f t="shared" si="22"/>
        <v>-42870000</v>
      </c>
      <c r="F85" s="43">
        <f t="shared" si="22"/>
        <v>-48270000</v>
      </c>
    </row>
    <row r="86">
      <c r="A86" s="41" t="s">
        <v>72</v>
      </c>
      <c r="B86" s="43">
        <f t="shared" ref="B86:F86" si="23">B78</f>
        <v>-350000</v>
      </c>
      <c r="C86" s="43">
        <f t="shared" si="23"/>
        <v>-350000</v>
      </c>
      <c r="D86" s="43">
        <f t="shared" si="23"/>
        <v>-350000</v>
      </c>
      <c r="E86" s="43">
        <f t="shared" si="23"/>
        <v>-350000</v>
      </c>
      <c r="F86" s="43">
        <f t="shared" si="23"/>
        <v>-350000</v>
      </c>
    </row>
    <row r="87">
      <c r="A87" s="41" t="s">
        <v>78</v>
      </c>
      <c r="B87" s="43">
        <f t="shared" ref="B87:F87" si="24">B84+B85+B86</f>
        <v>-24464400</v>
      </c>
      <c r="C87" s="43">
        <f t="shared" si="24"/>
        <v>-15954400</v>
      </c>
      <c r="D87" s="43">
        <f t="shared" si="24"/>
        <v>510800</v>
      </c>
      <c r="E87" s="43">
        <f t="shared" si="24"/>
        <v>25886320</v>
      </c>
      <c r="F87" s="43">
        <f t="shared" si="24"/>
        <v>69477200</v>
      </c>
    </row>
    <row r="88">
      <c r="A88" s="41" t="s">
        <v>79</v>
      </c>
      <c r="B88" s="43">
        <f t="shared" ref="B88:F88" si="25">B87*0.2</f>
        <v>-4892880</v>
      </c>
      <c r="C88" s="43">
        <f t="shared" si="25"/>
        <v>-3190880</v>
      </c>
      <c r="D88" s="43">
        <f t="shared" si="25"/>
        <v>102160</v>
      </c>
      <c r="E88" s="43">
        <f t="shared" si="25"/>
        <v>5177264</v>
      </c>
      <c r="F88" s="43">
        <f t="shared" si="25"/>
        <v>13895440</v>
      </c>
    </row>
    <row r="89">
      <c r="A89" s="29" t="s">
        <v>80</v>
      </c>
      <c r="B89" s="43">
        <f t="shared" ref="B89:E89" si="26">B87+B88</f>
        <v>-29357280</v>
      </c>
      <c r="C89" s="43">
        <f t="shared" si="26"/>
        <v>-19145280</v>
      </c>
      <c r="D89" s="43">
        <f t="shared" si="26"/>
        <v>612960</v>
      </c>
      <c r="E89" s="43">
        <f t="shared" si="26"/>
        <v>31063584</v>
      </c>
      <c r="F89" s="43">
        <f>F87-F88</f>
        <v>55581760</v>
      </c>
    </row>
    <row r="91">
      <c r="A91" s="74" t="s">
        <v>81</v>
      </c>
    </row>
    <row r="92">
      <c r="A92" s="75"/>
      <c r="B92" s="75"/>
      <c r="C92" s="75"/>
      <c r="D92" s="75"/>
    </row>
    <row r="93">
      <c r="A93" s="75"/>
      <c r="B93" s="75"/>
      <c r="C93" s="75"/>
      <c r="D93" s="75"/>
    </row>
    <row r="94">
      <c r="A94" s="75"/>
      <c r="B94" s="75"/>
      <c r="C94" s="75"/>
      <c r="D94" s="75"/>
    </row>
    <row r="95">
      <c r="A95" s="75"/>
      <c r="B95" s="75"/>
      <c r="C95" s="75"/>
      <c r="D95" s="75"/>
    </row>
    <row r="96">
      <c r="A96" s="75"/>
      <c r="B96" s="75"/>
      <c r="C96" s="75"/>
      <c r="D96" s="75"/>
    </row>
    <row r="97">
      <c r="A97" s="75"/>
      <c r="B97" s="75"/>
      <c r="C97" s="75"/>
      <c r="D97" s="75"/>
    </row>
    <row r="98">
      <c r="A98" s="75"/>
      <c r="B98" s="75"/>
      <c r="C98" s="75"/>
      <c r="D98" s="75"/>
    </row>
    <row r="99">
      <c r="A99" s="75"/>
      <c r="B99" s="75"/>
      <c r="C99" s="75"/>
      <c r="D99" s="75"/>
    </row>
  </sheetData>
  <mergeCells count="9">
    <mergeCell ref="H6:I6"/>
    <mergeCell ref="H9:I9"/>
    <mergeCell ref="H10:I10"/>
    <mergeCell ref="H11:I11"/>
    <mergeCell ref="A16:G16"/>
    <mergeCell ref="A5:F5"/>
    <mergeCell ref="A8:F8"/>
    <mergeCell ref="A75:F75"/>
    <mergeCell ref="A91:F91"/>
  </mergeCells>
  <hyperlinks>
    <hyperlink r:id="rId1" ref="H6"/>
    <hyperlink r:id="rId2" location=":~:text=60%20%D0%B4%D0%BD%D0%B5%D0%B9%20%D0%BF%D0%BE%D0%B4%D0%BF%D0%B8%D1%81%D0%BA%D0%B8%20%D0%AF%D0%BD%D0%B4%D0%B5%D0%BA%D1%81%20%D0%9F%D0%BB%D1%8E%D1%81,%D0%9F%D0%BB%D1%8E%D1%81%20%D0%BB%D0%B8%D0%B1%D0%BE%20%D0%BF%D0%BE%D0%B4%D0%BF%D0%B8%D1%81%D0%BA%D0%B8%2C%20%D0%B5%D1%91%20%D0%B2%D0%BA%D0%BB%D1%8E%D1%87%D0%B0%D1%8E%D1%89%D0%B8%D0%B5." ref="H9"/>
    <hyperlink r:id="rId3" ref="H10"/>
    <hyperlink r:id="rId4" ref="G57"/>
    <hyperlink r:id="rId5" ref="G58"/>
    <hyperlink r:id="rId6" ref="G59"/>
    <hyperlink r:id="rId7" ref="G60"/>
    <hyperlink r:id="rId8" ref="G72"/>
    <hyperlink r:id="rId9" ref="B79"/>
  </hyperlinks>
  <printOptions gridLines="1" horizontalCentered="1"/>
  <pageMargins bottom="0.75" footer="0.0" header="0.0" left="0.7" right="0.7" top="0.75"/>
  <pageSetup fitToHeight="0" cellComments="atEnd" orientation="landscape" pageOrder="overThenDown"/>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s>
  <sheetData>
    <row r="1">
      <c r="A1" s="76" t="s">
        <v>82</v>
      </c>
    </row>
    <row r="2">
      <c r="A2" s="76" t="s">
        <v>83</v>
      </c>
    </row>
    <row r="3">
      <c r="A3" s="76" t="s">
        <v>84</v>
      </c>
    </row>
    <row r="4">
      <c r="A4" s="76" t="s">
        <v>85</v>
      </c>
    </row>
    <row r="5">
      <c r="A5" s="76" t="s">
        <v>86</v>
      </c>
    </row>
    <row r="6">
      <c r="A6" s="76" t="s">
        <v>87</v>
      </c>
    </row>
    <row r="7">
      <c r="A7" s="76" t="s">
        <v>88</v>
      </c>
    </row>
    <row r="8">
      <c r="A8" s="76" t="s">
        <v>89</v>
      </c>
    </row>
  </sheetData>
  <drawing r:id="rId1"/>
</worksheet>
</file>