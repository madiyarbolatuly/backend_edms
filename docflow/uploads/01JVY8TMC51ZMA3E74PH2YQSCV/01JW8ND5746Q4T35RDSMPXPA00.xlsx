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rassyl\Desktop\"/>
    </mc:Choice>
  </mc:AlternateContent>
  <xr:revisionPtr revIDLastSave="0" documentId="13_ncr:1_{9B7FA4DF-DC3A-4F5C-BE46-FD9EEBC5520D}" xr6:coauthVersionLast="47" xr6:coauthVersionMax="47" xr10:uidLastSave="{00000000-0000-0000-0000-000000000000}"/>
  <bookViews>
    <workbookView xWindow="-108" yWindow="-108" windowWidth="23256" windowHeight="12576" activeTab="2" xr2:uid="{C80982FF-AB1D-46FC-800E-2EFB3C309E64}"/>
  </bookViews>
  <sheets>
    <sheet name="Income Statement" sheetId="1" r:id="rId1"/>
    <sheet name="Operating Expences" sheetId="3" r:id="rId2"/>
    <sheet name="Gross Income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E50" i="1"/>
  <c r="C49" i="1"/>
  <c r="J42" i="1"/>
  <c r="J41" i="1"/>
  <c r="J40" i="1"/>
  <c r="J39" i="1"/>
  <c r="J38" i="1"/>
  <c r="J37" i="1"/>
  <c r="G42" i="1"/>
  <c r="D40" i="1"/>
  <c r="E40" i="1"/>
  <c r="F40" i="1"/>
  <c r="G40" i="1"/>
  <c r="C40" i="1"/>
  <c r="D50" i="1"/>
  <c r="F50" i="1"/>
  <c r="C50" i="1"/>
  <c r="D49" i="1"/>
  <c r="E49" i="1"/>
  <c r="F49" i="1"/>
  <c r="G49" i="1"/>
  <c r="B44" i="1"/>
  <c r="C31" i="3"/>
  <c r="C33" i="3"/>
  <c r="D33" i="3"/>
  <c r="E33" i="3"/>
  <c r="F33" i="3"/>
  <c r="C32" i="3"/>
  <c r="D32" i="3"/>
  <c r="E32" i="3"/>
  <c r="F32" i="3"/>
  <c r="B33" i="3"/>
  <c r="B32" i="3"/>
  <c r="D31" i="3"/>
  <c r="E31" i="3"/>
  <c r="F31" i="3"/>
  <c r="B31" i="3"/>
  <c r="C30" i="3"/>
  <c r="D30" i="3"/>
  <c r="E30" i="3"/>
  <c r="F30" i="3"/>
  <c r="B30" i="3"/>
  <c r="B29" i="3"/>
  <c r="C29" i="3"/>
  <c r="D29" i="3"/>
  <c r="E29" i="3"/>
  <c r="F29" i="3"/>
  <c r="B28" i="3"/>
  <c r="C28" i="3"/>
  <c r="D28" i="3"/>
  <c r="E28" i="3"/>
  <c r="F28" i="3"/>
  <c r="G58" i="3"/>
  <c r="G59" i="3"/>
  <c r="G39" i="1" s="1"/>
  <c r="E24" i="2"/>
  <c r="F24" i="2"/>
  <c r="G24" i="2"/>
  <c r="L44" i="2" s="1"/>
  <c r="H24" i="2"/>
  <c r="D24" i="2"/>
  <c r="B44" i="2" s="1"/>
  <c r="B46" i="2" s="1"/>
  <c r="C20" i="1" s="1"/>
  <c r="D20" i="2"/>
  <c r="D58" i="3"/>
  <c r="E58" i="3"/>
  <c r="F58" i="3"/>
  <c r="C58" i="3"/>
  <c r="B58" i="3"/>
  <c r="A59" i="3"/>
  <c r="C54" i="3"/>
  <c r="A45" i="3"/>
  <c r="A54" i="3" s="1"/>
  <c r="C28" i="1"/>
  <c r="G26" i="1"/>
  <c r="C26" i="1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M44" i="2"/>
  <c r="J45" i="2"/>
  <c r="K45" i="2"/>
  <c r="L45" i="2"/>
  <c r="M45" i="2"/>
  <c r="I34" i="2"/>
  <c r="I35" i="2"/>
  <c r="I36" i="2"/>
  <c r="I37" i="2"/>
  <c r="I38" i="2"/>
  <c r="I39" i="2"/>
  <c r="I40" i="2"/>
  <c r="I41" i="2"/>
  <c r="I42" i="2"/>
  <c r="I43" i="2"/>
  <c r="I44" i="2"/>
  <c r="I46" i="2" s="1"/>
  <c r="C21" i="1" s="1"/>
  <c r="I45" i="2"/>
  <c r="J33" i="2"/>
  <c r="K33" i="2"/>
  <c r="L33" i="2"/>
  <c r="M33" i="2"/>
  <c r="I33" i="2"/>
  <c r="J32" i="2"/>
  <c r="K32" i="2"/>
  <c r="L32" i="2"/>
  <c r="M32" i="2"/>
  <c r="J31" i="2"/>
  <c r="K31" i="2"/>
  <c r="L31" i="2"/>
  <c r="M31" i="2"/>
  <c r="I31" i="2"/>
  <c r="I32" i="2"/>
  <c r="J30" i="2"/>
  <c r="K30" i="2"/>
  <c r="L30" i="2"/>
  <c r="M30" i="2"/>
  <c r="I30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I29" i="2"/>
  <c r="J29" i="2"/>
  <c r="K29" i="2"/>
  <c r="L29" i="2"/>
  <c r="M29" i="2"/>
  <c r="H29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C46" i="2" s="1"/>
  <c r="D20" i="1" s="1"/>
  <c r="D44" i="2"/>
  <c r="D46" i="2" s="1"/>
  <c r="E20" i="1" s="1"/>
  <c r="E44" i="2"/>
  <c r="E46" i="2" s="1"/>
  <c r="F20" i="1" s="1"/>
  <c r="F44" i="2"/>
  <c r="F46" i="2" s="1"/>
  <c r="G20" i="1" s="1"/>
  <c r="C45" i="2"/>
  <c r="D45" i="2"/>
  <c r="E45" i="2"/>
  <c r="F45" i="2"/>
  <c r="C35" i="2"/>
  <c r="D35" i="2"/>
  <c r="E35" i="2"/>
  <c r="F35" i="2"/>
  <c r="C34" i="2"/>
  <c r="D34" i="2"/>
  <c r="E34" i="2"/>
  <c r="F34" i="2"/>
  <c r="B35" i="2"/>
  <c r="B36" i="2"/>
  <c r="B37" i="2"/>
  <c r="B38" i="2"/>
  <c r="B39" i="2"/>
  <c r="B40" i="2"/>
  <c r="B41" i="2"/>
  <c r="B42" i="2"/>
  <c r="B43" i="2"/>
  <c r="B45" i="2"/>
  <c r="C33" i="2"/>
  <c r="D33" i="2"/>
  <c r="E33" i="2"/>
  <c r="F33" i="2"/>
  <c r="B33" i="2"/>
  <c r="B34" i="2"/>
  <c r="C30" i="2"/>
  <c r="D30" i="2"/>
  <c r="E30" i="2"/>
  <c r="F30" i="2"/>
  <c r="C31" i="2"/>
  <c r="D31" i="2"/>
  <c r="E31" i="2"/>
  <c r="F31" i="2"/>
  <c r="C32" i="2"/>
  <c r="D32" i="2"/>
  <c r="E32" i="2"/>
  <c r="F32" i="2"/>
  <c r="B32" i="2"/>
  <c r="B31" i="2"/>
  <c r="B30" i="2"/>
  <c r="C29" i="2"/>
  <c r="D29" i="2"/>
  <c r="E29" i="2"/>
  <c r="F29" i="2"/>
  <c r="B29" i="2"/>
  <c r="A34" i="2"/>
  <c r="A35" i="2"/>
  <c r="A36" i="2"/>
  <c r="A37" i="2"/>
  <c r="A38" i="2"/>
  <c r="A39" i="2"/>
  <c r="A40" i="2"/>
  <c r="A41" i="2"/>
  <c r="A42" i="2"/>
  <c r="A43" i="2"/>
  <c r="A44" i="2"/>
  <c r="A45" i="2"/>
  <c r="A33" i="2"/>
  <c r="A32" i="2"/>
  <c r="A31" i="2"/>
  <c r="A30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E20" i="2" s="1"/>
  <c r="F18" i="2"/>
  <c r="F20" i="2" s="1"/>
  <c r="G18" i="2"/>
  <c r="G20" i="2" s="1"/>
  <c r="H18" i="2"/>
  <c r="H20" i="2" s="1"/>
  <c r="E19" i="2"/>
  <c r="F19" i="2"/>
  <c r="G19" i="2"/>
  <c r="H19" i="2"/>
  <c r="E22" i="2"/>
  <c r="E23" i="2" s="1"/>
  <c r="F22" i="2"/>
  <c r="F23" i="2" s="1"/>
  <c r="G22" i="2"/>
  <c r="G23" i="2" s="1"/>
  <c r="H22" i="2"/>
  <c r="H23" i="2" s="1"/>
  <c r="E25" i="2"/>
  <c r="F25" i="2"/>
  <c r="G25" i="2"/>
  <c r="H25" i="2"/>
  <c r="D25" i="2"/>
  <c r="D23" i="2"/>
  <c r="D21" i="2"/>
  <c r="D22" i="2"/>
  <c r="D19" i="2"/>
  <c r="D18" i="2"/>
  <c r="D17" i="2"/>
  <c r="D16" i="2"/>
  <c r="D15" i="2"/>
  <c r="E6" i="2"/>
  <c r="F6" i="2"/>
  <c r="G6" i="2"/>
  <c r="H6" i="2"/>
  <c r="E7" i="2"/>
  <c r="E8" i="2" s="1"/>
  <c r="F7" i="2"/>
  <c r="F8" i="2" s="1"/>
  <c r="G7" i="2"/>
  <c r="H7" i="2"/>
  <c r="D7" i="2"/>
  <c r="D6" i="2"/>
  <c r="G8" i="2"/>
  <c r="H8" i="2"/>
  <c r="D14" i="2"/>
  <c r="F13" i="2"/>
  <c r="G13" i="2"/>
  <c r="H13" i="2" s="1"/>
  <c r="E13" i="2"/>
  <c r="C14" i="2"/>
  <c r="C15" i="2"/>
  <c r="C16" i="2"/>
  <c r="C17" i="2"/>
  <c r="C18" i="2"/>
  <c r="C19" i="2"/>
  <c r="C20" i="2"/>
  <c r="C21" i="2"/>
  <c r="C22" i="2"/>
  <c r="C23" i="2"/>
  <c r="C24" i="2"/>
  <c r="C25" i="2"/>
  <c r="C13" i="2"/>
  <c r="C12" i="2"/>
  <c r="D12" i="2"/>
  <c r="E12" i="2"/>
  <c r="F12" i="2"/>
  <c r="G12" i="2"/>
  <c r="H12" i="2"/>
  <c r="B12" i="2"/>
  <c r="C7" i="2"/>
  <c r="C8" i="2"/>
  <c r="C6" i="2"/>
  <c r="A47" i="3"/>
  <c r="A56" i="3" s="1"/>
  <c r="A48" i="3"/>
  <c r="A57" i="3" s="1"/>
  <c r="A49" i="3"/>
  <c r="A58" i="3" s="1"/>
  <c r="A46" i="3"/>
  <c r="A55" i="3" s="1"/>
  <c r="C45" i="3"/>
  <c r="D54" i="3" s="1"/>
  <c r="D45" i="3"/>
  <c r="E54" i="3" s="1"/>
  <c r="E45" i="3"/>
  <c r="F54" i="3" s="1"/>
  <c r="F45" i="3"/>
  <c r="G54" i="3" s="1"/>
  <c r="B45" i="3"/>
  <c r="C41" i="3"/>
  <c r="D41" i="3" s="1"/>
  <c r="E41" i="3" s="1"/>
  <c r="F41" i="3" s="1"/>
  <c r="G28" i="1" s="1"/>
  <c r="C40" i="3"/>
  <c r="D40" i="3" s="1"/>
  <c r="E40" i="3" s="1"/>
  <c r="F40" i="3" s="1"/>
  <c r="A29" i="3"/>
  <c r="A30" i="3"/>
  <c r="A31" i="3"/>
  <c r="A32" i="3"/>
  <c r="A33" i="3"/>
  <c r="A28" i="3"/>
  <c r="C23" i="3"/>
  <c r="E39" i="3" s="1"/>
  <c r="C22" i="3"/>
  <c r="B39" i="3" s="1"/>
  <c r="B22" i="3"/>
  <c r="I15" i="3"/>
  <c r="F47" i="3" s="1"/>
  <c r="E15" i="3"/>
  <c r="B47" i="3" s="1"/>
  <c r="D15" i="3"/>
  <c r="D16" i="3"/>
  <c r="D17" i="3"/>
  <c r="D49" i="3" s="1"/>
  <c r="D14" i="3"/>
  <c r="F14" i="3"/>
  <c r="G14" i="3"/>
  <c r="D46" i="3" s="1"/>
  <c r="H14" i="3"/>
  <c r="H16" i="3" s="1"/>
  <c r="I14" i="3"/>
  <c r="I16" i="3" s="1"/>
  <c r="G57" i="3" s="1"/>
  <c r="E14" i="3"/>
  <c r="B55" i="3" s="1"/>
  <c r="B34" i="3" l="1"/>
  <c r="C24" i="1" s="1"/>
  <c r="C46" i="3"/>
  <c r="F57" i="3"/>
  <c r="G55" i="3"/>
  <c r="B56" i="3"/>
  <c r="F26" i="1"/>
  <c r="G56" i="3"/>
  <c r="C55" i="3"/>
  <c r="C49" i="3"/>
  <c r="F28" i="1"/>
  <c r="F55" i="3"/>
  <c r="E28" i="1"/>
  <c r="E55" i="3"/>
  <c r="D28" i="1"/>
  <c r="D55" i="3"/>
  <c r="H15" i="3"/>
  <c r="F56" i="3" s="1"/>
  <c r="G15" i="3"/>
  <c r="F48" i="3"/>
  <c r="F15" i="3"/>
  <c r="E48" i="3"/>
  <c r="M46" i="2"/>
  <c r="G21" i="1" s="1"/>
  <c r="G22" i="1" s="1"/>
  <c r="L46" i="2"/>
  <c r="F21" i="1" s="1"/>
  <c r="F22" i="1" s="1"/>
  <c r="K46" i="2"/>
  <c r="E21" i="1" s="1"/>
  <c r="E22" i="1" s="1"/>
  <c r="J46" i="2"/>
  <c r="D21" i="1" s="1"/>
  <c r="D22" i="1" s="1"/>
  <c r="C22" i="1"/>
  <c r="C25" i="1"/>
  <c r="C39" i="3"/>
  <c r="F39" i="3"/>
  <c r="G25" i="1" s="1"/>
  <c r="F25" i="1"/>
  <c r="B46" i="3"/>
  <c r="D26" i="1"/>
  <c r="B49" i="3"/>
  <c r="F46" i="3"/>
  <c r="G16" i="3"/>
  <c r="F49" i="3"/>
  <c r="E46" i="3"/>
  <c r="E26" i="1"/>
  <c r="F16" i="3"/>
  <c r="E49" i="3"/>
  <c r="E16" i="3"/>
  <c r="B57" i="3" s="1"/>
  <c r="B59" i="3" s="1"/>
  <c r="B39" i="1" s="1"/>
  <c r="B41" i="1" s="1"/>
  <c r="B43" i="1" s="1"/>
  <c r="G21" i="2"/>
  <c r="F21" i="2"/>
  <c r="H21" i="2"/>
  <c r="E21" i="2"/>
  <c r="D8" i="2"/>
  <c r="F34" i="3"/>
  <c r="G24" i="1" s="1"/>
  <c r="E34" i="3"/>
  <c r="F24" i="1" s="1"/>
  <c r="D34" i="3"/>
  <c r="E24" i="1" s="1"/>
  <c r="C34" i="3"/>
  <c r="D24" i="1" s="1"/>
  <c r="K37" i="1" l="1"/>
  <c r="F59" i="3"/>
  <c r="F39" i="1" s="1"/>
  <c r="C47" i="3"/>
  <c r="C56" i="3"/>
  <c r="C48" i="3"/>
  <c r="C50" i="3" s="1"/>
  <c r="D27" i="1" s="1"/>
  <c r="D38" i="1" s="1"/>
  <c r="C57" i="3"/>
  <c r="C59" i="3" s="1"/>
  <c r="C39" i="1" s="1"/>
  <c r="D47" i="3"/>
  <c r="D56" i="3"/>
  <c r="E47" i="3"/>
  <c r="E56" i="3"/>
  <c r="E59" i="3" s="1"/>
  <c r="E39" i="1" s="1"/>
  <c r="D48" i="3"/>
  <c r="D57" i="3"/>
  <c r="D59" i="3"/>
  <c r="D39" i="1" s="1"/>
  <c r="E57" i="3"/>
  <c r="D39" i="3"/>
  <c r="E25" i="1" s="1"/>
  <c r="D25" i="1"/>
  <c r="D29" i="1" s="1"/>
  <c r="D30" i="1" s="1"/>
  <c r="F50" i="3"/>
  <c r="G27" i="1" s="1"/>
  <c r="G38" i="1" s="1"/>
  <c r="B48" i="3"/>
  <c r="B50" i="3" s="1"/>
  <c r="C27" i="1" s="1"/>
  <c r="E50" i="3"/>
  <c r="F27" i="1" s="1"/>
  <c r="F38" i="1" s="1"/>
  <c r="D50" i="3" l="1"/>
  <c r="E27" i="1" s="1"/>
  <c r="E38" i="1" s="1"/>
  <c r="C38" i="1"/>
  <c r="C29" i="1"/>
  <c r="C30" i="1" s="1"/>
  <c r="D31" i="1"/>
  <c r="D32" i="1" s="1"/>
  <c r="D37" i="1" s="1"/>
  <c r="D41" i="1" s="1"/>
  <c r="D43" i="1" s="1"/>
  <c r="G29" i="1"/>
  <c r="G30" i="1" s="1"/>
  <c r="G31" i="1" s="1"/>
  <c r="G32" i="1" s="1"/>
  <c r="G37" i="1" s="1"/>
  <c r="G41" i="1" s="1"/>
  <c r="F29" i="1"/>
  <c r="F30" i="1" s="1"/>
  <c r="F31" i="1" s="1"/>
  <c r="F32" i="1" s="1"/>
  <c r="F37" i="1" s="1"/>
  <c r="F41" i="1" s="1"/>
  <c r="E29" i="1" l="1"/>
  <c r="E30" i="1" s="1"/>
  <c r="E31" i="1" s="1"/>
  <c r="E32" i="1" s="1"/>
  <c r="E37" i="1" s="1"/>
  <c r="E41" i="1" s="1"/>
  <c r="E43" i="1" s="1"/>
  <c r="E44" i="1" s="1"/>
  <c r="D44" i="1"/>
  <c r="G43" i="1"/>
  <c r="F43" i="1"/>
  <c r="C31" i="1"/>
  <c r="C32" i="1" s="1"/>
  <c r="C37" i="1" s="1"/>
  <c r="C41" i="1" s="1"/>
  <c r="F44" i="1" l="1"/>
  <c r="G44" i="1"/>
  <c r="C43" i="1"/>
  <c r="B46" i="1" l="1"/>
  <c r="B45" i="1"/>
  <c r="K38" i="1"/>
  <c r="K39" i="1" s="1"/>
  <c r="K40" i="1" s="1"/>
  <c r="C44" i="1"/>
  <c r="K41" i="1" l="1"/>
  <c r="B47" i="1" s="1"/>
  <c r="K42" i="1" l="1"/>
</calcChain>
</file>

<file path=xl/sharedStrings.xml><?xml version="1.0" encoding="utf-8"?>
<sst xmlns="http://schemas.openxmlformats.org/spreadsheetml/2006/main" count="165" uniqueCount="116">
  <si>
    <t>Tax</t>
  </si>
  <si>
    <t>Year 2</t>
  </si>
  <si>
    <t>Year 1</t>
  </si>
  <si>
    <t>Year 3</t>
  </si>
  <si>
    <t>Year 4</t>
  </si>
  <si>
    <t>Year 5</t>
  </si>
  <si>
    <t>Coordinator</t>
  </si>
  <si>
    <t>Accountant</t>
  </si>
  <si>
    <t>Sales Manager</t>
  </si>
  <si>
    <t>Office Manager</t>
  </si>
  <si>
    <t>Guide</t>
  </si>
  <si>
    <t>"Bronze"</t>
  </si>
  <si>
    <t>"Silver"</t>
  </si>
  <si>
    <t>"Gold"</t>
  </si>
  <si>
    <t>Salary</t>
  </si>
  <si>
    <t>Fixed Assets</t>
  </si>
  <si>
    <t>Printer</t>
  </si>
  <si>
    <t>Vehicle</t>
  </si>
  <si>
    <t>Rent</t>
  </si>
  <si>
    <t>Check-Up</t>
  </si>
  <si>
    <t>Decay</t>
  </si>
  <si>
    <t>Cleaning</t>
  </si>
  <si>
    <t>Filling</t>
  </si>
  <si>
    <t>Crown</t>
  </si>
  <si>
    <t>Delete</t>
  </si>
  <si>
    <t>Surgical Delete</t>
  </si>
  <si>
    <t>Implants</t>
  </si>
  <si>
    <t>Plastins</t>
  </si>
  <si>
    <t>Braces</t>
  </si>
  <si>
    <t>Veneers</t>
  </si>
  <si>
    <t>Full Reconstruction</t>
  </si>
  <si>
    <t>Cost</t>
  </si>
  <si>
    <t>Price</t>
  </si>
  <si>
    <t>Total</t>
  </si>
  <si>
    <t>COGS</t>
  </si>
  <si>
    <t>Gross Profit</t>
  </si>
  <si>
    <t>Margin</t>
  </si>
  <si>
    <t>Sales</t>
  </si>
  <si>
    <t>Salaries</t>
  </si>
  <si>
    <t>Advertisment</t>
  </si>
  <si>
    <t>Other</t>
  </si>
  <si>
    <t>Total Expences</t>
  </si>
  <si>
    <t>EBIT</t>
  </si>
  <si>
    <t>Taxes</t>
  </si>
  <si>
    <t>Net Income</t>
  </si>
  <si>
    <t>Year</t>
  </si>
  <si>
    <t>Depreciation</t>
  </si>
  <si>
    <t>Computer</t>
  </si>
  <si>
    <t>Office Furniture Set</t>
  </si>
  <si>
    <t>Housing/ Packages</t>
  </si>
  <si>
    <t>Cost of Capital</t>
  </si>
  <si>
    <t>NWC</t>
  </si>
  <si>
    <t>Growth Rate</t>
  </si>
  <si>
    <t>Salary per Year</t>
  </si>
  <si>
    <t>Marketing &amp; PR Specialist</t>
  </si>
  <si>
    <t>Usefull Life in Year</t>
  </si>
  <si>
    <t>Depriciation</t>
  </si>
  <si>
    <t>Assets</t>
  </si>
  <si>
    <t>Positions</t>
  </si>
  <si>
    <t>Area in m^2</t>
  </si>
  <si>
    <t>Cost per m^2</t>
  </si>
  <si>
    <t>Cost per year</t>
  </si>
  <si>
    <t>Salary Expences</t>
  </si>
  <si>
    <t>Other Expences</t>
  </si>
  <si>
    <t>Housing/Packages</t>
  </si>
  <si>
    <t>Medical Procedures</t>
  </si>
  <si>
    <t>Revenue</t>
  </si>
  <si>
    <t>Income Statement</t>
  </si>
  <si>
    <t>Operating Expences</t>
  </si>
  <si>
    <t>Unlevered Net Income</t>
  </si>
  <si>
    <t xml:space="preserve">Depreciation </t>
  </si>
  <si>
    <t>CapEx</t>
  </si>
  <si>
    <t>Year 0</t>
  </si>
  <si>
    <t>Free Cash Flow</t>
  </si>
  <si>
    <t>NPV</t>
  </si>
  <si>
    <t>IRR</t>
  </si>
  <si>
    <t>Cumulative</t>
  </si>
  <si>
    <t>Payback Period</t>
  </si>
  <si>
    <t>Free Cash Flow Adjustment</t>
  </si>
  <si>
    <t>DCF</t>
  </si>
  <si>
    <t>FCF</t>
  </si>
  <si>
    <t>TV</t>
  </si>
  <si>
    <t>FCF with TV</t>
  </si>
  <si>
    <t>Reference</t>
  </si>
  <si>
    <t>An average cost of rent is lower than 10 USD. We took highest value to neglect possible increasing in rent</t>
  </si>
  <si>
    <t>Reducing advertising costs through word of mouth</t>
  </si>
  <si>
    <t>The increase in prices due to the increase in patients</t>
  </si>
  <si>
    <t>Increasing of salary by 5%</t>
  </si>
  <si>
    <t>Cost of "Bronze" accommodation is about 12000 Tenge per day, or 194 $ per weak</t>
  </si>
  <si>
    <t>Number of Patients = Number of Check-Ups. We are expecting 20 patients per month. Increasing to 5 per year</t>
  </si>
  <si>
    <t>Number of Cleaning = Number of Check-Ups</t>
  </si>
  <si>
    <t>Number of Decay is about 2,5 per Patient</t>
  </si>
  <si>
    <t>Number of Fillings=Number of Decay</t>
  </si>
  <si>
    <t>Number of Crown is about every forth of Number of Patients</t>
  </si>
  <si>
    <t>Every tenth of patient might require Deletion</t>
  </si>
  <si>
    <t>Surgical Delete is about 1,5 times of Deletion</t>
  </si>
  <si>
    <t>Every Deletion needs implants, and half of the Surgical Deletion needs implants</t>
  </si>
  <si>
    <t>Every forth of Patients will need Braces (Most possible that it can be higher than we expected, as Braces can be most valuable procedure for Patients)</t>
  </si>
  <si>
    <t>One third of the Braces</t>
  </si>
  <si>
    <t>Half of the Braces</t>
  </si>
  <si>
    <t>2% of Patients, as procedure is rare</t>
  </si>
  <si>
    <t>Includes anesthesia for procedures and etc.</t>
  </si>
  <si>
    <t>All the costs are average values of the procedures we found in the most popular dental clinics in Astana</t>
  </si>
  <si>
    <t>Increase in Number of Patients</t>
  </si>
  <si>
    <t>Number of Patients per year</t>
  </si>
  <si>
    <t>Increase in Salary</t>
  </si>
  <si>
    <t>Increase in Other Expenses</t>
  </si>
  <si>
    <t>Decrease on Advertisment</t>
  </si>
  <si>
    <t>Cost of Rent per m2</t>
  </si>
  <si>
    <t>10$</t>
  </si>
  <si>
    <t>Bronze Package</t>
  </si>
  <si>
    <t>Silver Package</t>
  </si>
  <si>
    <t>Gold Package</t>
  </si>
  <si>
    <t>Assumtions</t>
  </si>
  <si>
    <t>NWC Change</t>
  </si>
  <si>
    <t>All data in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</si>
</sst>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₸&quot;_-;\-* #,##0.00\ &quot;₸&quot;_-;_-* &quot;-&quot;??\ &quot;₸&quot;_-;_-@_-"/>
    <numFmt numFmtId="164" formatCode="_-[$$-409]* #,##0.00_ ;_-[$$-409]* \-#,##0.00\ ;_-[$$-409]* &quot;-&quot;??_ ;_-@_ "/>
    <numFmt numFmtId="165" formatCode="_(* #,##0_);_(* \(#,##0\);_(* &quot;-&quot;??_);_(@_)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u/>
      <sz val="10"/>
      <color rgb="FF0000FF"/>
      <name val="Arial"/>
      <family val="2"/>
      <charset val="204"/>
    </font>
    <font>
      <u/>
      <sz val="11"/>
      <color rgb="FF0000FF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2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hnodom.kz/astana/search?recommended_by=instant_search&amp;recommended_code=%D0%BF%D1%80%D0%B8%D0%BD%D1%82%D0%B5%D1%80&amp;source=search&amp;query_id=&amp;r46_search_query=%D0%BF%D1%80%D0%B8%D0%BD%D1%82%D0%B5%D1%80&amp;r46_input_query=%D0%BF%D1%80%D0%B8%D0%BD%D1%82%D0%B5%D1%80" TargetMode="External"/><Relationship Id="rId3" Type="http://schemas.openxmlformats.org/officeDocument/2006/relationships/hyperlink" Target="https://astana.hh.kz/vacancies/smm_menedzher" TargetMode="External"/><Relationship Id="rId7" Type="http://schemas.openxmlformats.org/officeDocument/2006/relationships/hyperlink" Target="https://www.technodom.kz/astana/search?recommended_by=instant_search&amp;recommended_code=%D0%9D%D0%BE%D1%83%D1%82%D0%B1%D1%83%D0%BA%D0%B8&amp;source=search&amp;query_id=&amp;r46_search_query=%D0%9D%D0%BE%D1%83%D1%82%D0%B1%D1%83%D0%BA%D0%B8&amp;r46_input_query=%D0%9D%D0%BE%D1%83%D1%82%D0%B1%D1%83%D0%BA%D0%B8" TargetMode="External"/><Relationship Id="rId2" Type="http://schemas.openxmlformats.org/officeDocument/2006/relationships/hyperlink" Target="https://astana.hh.kz/vacancies/bukhgalter" TargetMode="External"/><Relationship Id="rId1" Type="http://schemas.openxmlformats.org/officeDocument/2006/relationships/hyperlink" Target="https://astana.hh.kz/search/vacancy?text=%D0%BA%D0%BE%D0%BE%D1%80%D0%B4%D0%B8%D0%BD%D0%B0%D1%82%D0%BE%D1%80+%D0%BF%D0%BE+%D1%82%D1%83%D1%80%D0%B8%D0%B7%D0%BC%D1%83&amp;salary=&amp;ored_clusters=true&amp;area=159&amp;hhtmFrom=vacancy_search_list&amp;hhtmFromLabel=vacancy_search_line" TargetMode="External"/><Relationship Id="rId6" Type="http://schemas.openxmlformats.org/officeDocument/2006/relationships/hyperlink" Target="https://astana.hh.kz/vacancies/ekskursovod" TargetMode="External"/><Relationship Id="rId5" Type="http://schemas.openxmlformats.org/officeDocument/2006/relationships/hyperlink" Target="https://astana.hh.kz/search/vacancy?text=%D0%9E%D1%84%D0%B8%D1%81+%D0%BC%D0%B5%D0%BD%D0%B5%D0%B4%D0%B6%D0%B5%D1%80&amp;from=suggest_post&amp;salary=&amp;ored_clusters=true&amp;area=159&amp;hhtmFrom=vacancy_search_list&amp;hhtmFromLabel=vacancy_search_line" TargetMode="External"/><Relationship Id="rId10" Type="http://schemas.openxmlformats.org/officeDocument/2006/relationships/hyperlink" Target="https://kolesa.kz/a/show/173528986" TargetMode="External"/><Relationship Id="rId4" Type="http://schemas.openxmlformats.org/officeDocument/2006/relationships/hyperlink" Target="https://astana.hh.kz/vacancies/menedzher_po_prodazham" TargetMode="External"/><Relationship Id="rId9" Type="http://schemas.openxmlformats.org/officeDocument/2006/relationships/hyperlink" Target="https://astana.express-office.ru/?yclid=1813047554826751180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ipbest.ru/world/asia/kazakhstan/astana/prices_tse.php" TargetMode="External"/><Relationship Id="rId1" Type="http://schemas.openxmlformats.org/officeDocument/2006/relationships/hyperlink" Target="https://www.tripbest.ru/world/asia/kazakhstan/astana/prices_ts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737B-155D-4863-9B18-D813B74D2760}">
  <dimension ref="A1:K87"/>
  <sheetViews>
    <sheetView topLeftCell="A28" zoomScale="64" zoomScaleNormal="89" workbookViewId="0">
      <selection activeCell="B47" sqref="B47"/>
    </sheetView>
  </sheetViews>
  <sheetFormatPr defaultColWidth="12.77734375" defaultRowHeight="30" customHeight="1" x14ac:dyDescent="0.3"/>
  <cols>
    <col min="1" max="1" width="12.77734375" style="2" customWidth="1"/>
    <col min="2" max="6" width="12.88671875" style="2" bestFit="1" customWidth="1"/>
    <col min="7" max="7" width="14.44140625" style="2" customWidth="1"/>
    <col min="8" max="8" width="12.77734375" style="2"/>
    <col min="9" max="10" width="12.88671875" style="2" bestFit="1" customWidth="1"/>
    <col min="11" max="16384" width="12.77734375" style="2"/>
  </cols>
  <sheetData>
    <row r="1" spans="1:10" ht="30" customHeight="1" x14ac:dyDescent="0.3">
      <c r="A1" s="2" t="s">
        <v>113</v>
      </c>
    </row>
    <row r="2" spans="1:10" ht="30" customHeight="1" x14ac:dyDescent="0.3">
      <c r="A2" s="1" t="s">
        <v>0</v>
      </c>
      <c r="B2" s="14">
        <v>0.1</v>
      </c>
      <c r="J2" s="3"/>
    </row>
    <row r="3" spans="1:10" ht="30" customHeight="1" x14ac:dyDescent="0.3">
      <c r="A3" s="1" t="s">
        <v>50</v>
      </c>
      <c r="B3" s="14">
        <v>0.2</v>
      </c>
      <c r="J3" s="3"/>
    </row>
    <row r="4" spans="1:10" ht="30" customHeight="1" x14ac:dyDescent="0.3">
      <c r="A4" s="1" t="s">
        <v>51</v>
      </c>
      <c r="B4" s="14">
        <v>0.15</v>
      </c>
      <c r="J4" s="3"/>
    </row>
    <row r="5" spans="1:10" ht="30" customHeight="1" x14ac:dyDescent="0.3">
      <c r="A5" s="1" t="s">
        <v>52</v>
      </c>
      <c r="B5" s="14">
        <v>0.03</v>
      </c>
      <c r="J5" s="3"/>
    </row>
    <row r="6" spans="1:10" ht="30" customHeight="1" x14ac:dyDescent="0.3">
      <c r="A6" s="1" t="s">
        <v>36</v>
      </c>
      <c r="B6" s="14">
        <v>0.4</v>
      </c>
    </row>
    <row r="7" spans="1:10" ht="30" customHeight="1" x14ac:dyDescent="0.3">
      <c r="A7" s="1" t="s">
        <v>104</v>
      </c>
      <c r="B7" s="1">
        <v>240</v>
      </c>
    </row>
    <row r="8" spans="1:10" ht="30" customHeight="1" x14ac:dyDescent="0.3">
      <c r="A8" s="1" t="s">
        <v>103</v>
      </c>
      <c r="B8" s="1">
        <v>60</v>
      </c>
    </row>
    <row r="9" spans="1:10" ht="30" customHeight="1" x14ac:dyDescent="0.3">
      <c r="A9" s="1" t="s">
        <v>105</v>
      </c>
      <c r="B9" s="14">
        <v>0.05</v>
      </c>
    </row>
    <row r="10" spans="1:10" ht="30" customHeight="1" x14ac:dyDescent="0.3">
      <c r="A10" s="1" t="s">
        <v>106</v>
      </c>
      <c r="B10" s="14">
        <v>7.0000000000000007E-2</v>
      </c>
    </row>
    <row r="11" spans="1:10" ht="30" customHeight="1" x14ac:dyDescent="0.3">
      <c r="A11" s="1" t="s">
        <v>107</v>
      </c>
      <c r="B11" s="14">
        <v>7.0000000000000007E-2</v>
      </c>
    </row>
    <row r="12" spans="1:10" ht="30" customHeight="1" x14ac:dyDescent="0.3">
      <c r="A12" s="1" t="s">
        <v>108</v>
      </c>
      <c r="B12" s="8" t="s">
        <v>109</v>
      </c>
    </row>
    <row r="13" spans="1:10" ht="30" customHeight="1" x14ac:dyDescent="0.3">
      <c r="A13" s="1" t="s">
        <v>110</v>
      </c>
      <c r="B13" s="14">
        <v>0.6</v>
      </c>
    </row>
    <row r="14" spans="1:10" ht="30" customHeight="1" x14ac:dyDescent="0.3">
      <c r="A14" s="1" t="s">
        <v>111</v>
      </c>
      <c r="B14" s="14">
        <v>0.3</v>
      </c>
    </row>
    <row r="15" spans="1:10" ht="30" customHeight="1" x14ac:dyDescent="0.3">
      <c r="A15" s="1" t="s">
        <v>112</v>
      </c>
      <c r="B15" s="14">
        <v>0.1</v>
      </c>
    </row>
    <row r="17" spans="1:7" ht="30" customHeight="1" x14ac:dyDescent="0.3">
      <c r="A17" s="25" t="s">
        <v>67</v>
      </c>
      <c r="B17" s="25"/>
      <c r="C17" s="2" t="s">
        <v>115</v>
      </c>
    </row>
    <row r="19" spans="1:7" ht="30" customHeight="1" x14ac:dyDescent="0.3">
      <c r="A19" s="1" t="s">
        <v>45</v>
      </c>
      <c r="B19" s="1">
        <v>0</v>
      </c>
      <c r="C19" s="1">
        <v>1</v>
      </c>
      <c r="D19" s="1">
        <v>2</v>
      </c>
      <c r="E19" s="1">
        <v>3</v>
      </c>
      <c r="F19" s="1">
        <v>4</v>
      </c>
      <c r="G19" s="1">
        <v>5</v>
      </c>
    </row>
    <row r="20" spans="1:7" ht="30" customHeight="1" x14ac:dyDescent="0.3">
      <c r="A20" s="1" t="s">
        <v>37</v>
      </c>
      <c r="B20" s="15"/>
      <c r="C20" s="15">
        <f>'Gross Income'!B46</f>
        <v>389636</v>
      </c>
      <c r="D20" s="15">
        <f>'Gross Income'!C46</f>
        <v>484783</v>
      </c>
      <c r="E20" s="15">
        <f>'Gross Income'!D46</f>
        <v>579930</v>
      </c>
      <c r="F20" s="15">
        <f>'Gross Income'!E46</f>
        <v>675077</v>
      </c>
      <c r="G20" s="15">
        <f>'Gross Income'!F46</f>
        <v>779272</v>
      </c>
    </row>
    <row r="21" spans="1:7" ht="30" customHeight="1" x14ac:dyDescent="0.3">
      <c r="A21" s="1" t="s">
        <v>34</v>
      </c>
      <c r="B21" s="15"/>
      <c r="C21" s="15">
        <f>-'Gross Income'!I46</f>
        <v>-278245</v>
      </c>
      <c r="D21" s="15">
        <f>-'Gross Income'!J46</f>
        <v>-346190.5</v>
      </c>
      <c r="E21" s="15">
        <f>-'Gross Income'!K46</f>
        <v>-414136</v>
      </c>
      <c r="F21" s="15">
        <f>-'Gross Income'!L46</f>
        <v>-482081.5</v>
      </c>
      <c r="G21" s="15">
        <f>-'Gross Income'!M46</f>
        <v>-556490</v>
      </c>
    </row>
    <row r="22" spans="1:7" ht="30" customHeight="1" x14ac:dyDescent="0.3">
      <c r="A22" s="12" t="s">
        <v>35</v>
      </c>
      <c r="B22" s="16"/>
      <c r="C22" s="16">
        <f>C20+C21</f>
        <v>111391</v>
      </c>
      <c r="D22" s="16">
        <f t="shared" ref="D22:G22" si="0">D20+D21</f>
        <v>138592.5</v>
      </c>
      <c r="E22" s="16">
        <f t="shared" si="0"/>
        <v>165794</v>
      </c>
      <c r="F22" s="16">
        <f t="shared" si="0"/>
        <v>192995.5</v>
      </c>
      <c r="G22" s="16">
        <f t="shared" si="0"/>
        <v>222782</v>
      </c>
    </row>
    <row r="23" spans="1:7" ht="30" customHeight="1" x14ac:dyDescent="0.3">
      <c r="A23" s="1" t="s">
        <v>68</v>
      </c>
      <c r="B23" s="17"/>
      <c r="C23" s="18"/>
      <c r="D23" s="18"/>
      <c r="E23" s="18"/>
      <c r="F23" s="18"/>
      <c r="G23" s="19"/>
    </row>
    <row r="24" spans="1:7" ht="30" customHeight="1" x14ac:dyDescent="0.3">
      <c r="A24" s="1" t="s">
        <v>38</v>
      </c>
      <c r="B24" s="20"/>
      <c r="C24" s="20">
        <f>-'Operating Expences'!B34</f>
        <v>-55800</v>
      </c>
      <c r="D24" s="20">
        <f>-'Operating Expences'!C34</f>
        <v>-58590</v>
      </c>
      <c r="E24" s="20">
        <f>-'Operating Expences'!D34</f>
        <v>-116424</v>
      </c>
      <c r="F24" s="20">
        <f>-'Operating Expences'!E34</f>
        <v>-122245.20000000001</v>
      </c>
      <c r="G24" s="20">
        <f>-'Operating Expences'!F34</f>
        <v>-138567.71249999999</v>
      </c>
    </row>
    <row r="25" spans="1:7" ht="30" customHeight="1" x14ac:dyDescent="0.3">
      <c r="A25" s="1" t="s">
        <v>18</v>
      </c>
      <c r="B25" s="15"/>
      <c r="C25" s="15">
        <f>-'Operating Expences'!B39</f>
        <v>-7680</v>
      </c>
      <c r="D25" s="15">
        <f>-'Operating Expences'!C39</f>
        <v>-7680</v>
      </c>
      <c r="E25" s="15">
        <f>-'Operating Expences'!D39</f>
        <v>-7680</v>
      </c>
      <c r="F25" s="15">
        <f>-'Operating Expences'!E39</f>
        <v>-12000</v>
      </c>
      <c r="G25" s="15">
        <f>-'Operating Expences'!F39</f>
        <v>-12000</v>
      </c>
    </row>
    <row r="26" spans="1:7" ht="30" customHeight="1" x14ac:dyDescent="0.3">
      <c r="A26" s="1" t="s">
        <v>39</v>
      </c>
      <c r="B26" s="15"/>
      <c r="C26" s="15">
        <f>-'Operating Expences'!B40</f>
        <v>-12000</v>
      </c>
      <c r="D26" s="15">
        <f>-'Operating Expences'!C40</f>
        <v>-11160</v>
      </c>
      <c r="E26" s="15">
        <f>-'Operating Expences'!D40</f>
        <v>-10378.799999999999</v>
      </c>
      <c r="F26" s="15">
        <f>-'Operating Expences'!E40</f>
        <v>-9652.2839999999978</v>
      </c>
      <c r="G26" s="15">
        <f>-'Operating Expences'!F40</f>
        <v>-8976.6241199999968</v>
      </c>
    </row>
    <row r="27" spans="1:7" ht="30" customHeight="1" x14ac:dyDescent="0.3">
      <c r="A27" s="1" t="s">
        <v>46</v>
      </c>
      <c r="B27" s="15"/>
      <c r="C27" s="15">
        <f>-'Operating Expences'!B50</f>
        <v>-4744</v>
      </c>
      <c r="D27" s="15">
        <f>-'Operating Expences'!C50</f>
        <v>-4744</v>
      </c>
      <c r="E27" s="15">
        <f>-'Operating Expences'!D50</f>
        <v>-5808</v>
      </c>
      <c r="F27" s="15">
        <f>-'Operating Expences'!E50</f>
        <v>-5808</v>
      </c>
      <c r="G27" s="15">
        <f>-'Operating Expences'!F50</f>
        <v>-5988</v>
      </c>
    </row>
    <row r="28" spans="1:7" ht="30" customHeight="1" x14ac:dyDescent="0.3">
      <c r="A28" s="1" t="s">
        <v>40</v>
      </c>
      <c r="B28" s="15"/>
      <c r="C28" s="15">
        <f>-'Operating Expences'!B41</f>
        <v>-4200</v>
      </c>
      <c r="D28" s="15">
        <f>-'Operating Expences'!C41</f>
        <v>-4494</v>
      </c>
      <c r="E28" s="15">
        <f>-'Operating Expences'!D41</f>
        <v>-4808.58</v>
      </c>
      <c r="F28" s="15">
        <f>-'Operating Expences'!E41</f>
        <v>-5145.1806000000006</v>
      </c>
      <c r="G28" s="15">
        <f>-'Operating Expences'!F41</f>
        <v>-5505.3432420000008</v>
      </c>
    </row>
    <row r="29" spans="1:7" ht="30" customHeight="1" x14ac:dyDescent="0.3">
      <c r="A29" s="1" t="s">
        <v>41</v>
      </c>
      <c r="B29" s="15"/>
      <c r="C29" s="15">
        <f>SUM(C24:C28)</f>
        <v>-84424</v>
      </c>
      <c r="D29" s="15">
        <f t="shared" ref="D29:G29" si="1">SUM(D24:D28)</f>
        <v>-86668</v>
      </c>
      <c r="E29" s="15">
        <f t="shared" si="1"/>
        <v>-145099.37999999998</v>
      </c>
      <c r="F29" s="15">
        <f t="shared" si="1"/>
        <v>-154850.66459999999</v>
      </c>
      <c r="G29" s="15">
        <f t="shared" si="1"/>
        <v>-171037.67986199999</v>
      </c>
    </row>
    <row r="30" spans="1:7" ht="30" customHeight="1" x14ac:dyDescent="0.3">
      <c r="A30" s="1" t="s">
        <v>42</v>
      </c>
      <c r="B30" s="15"/>
      <c r="C30" s="15">
        <f>C22+C29</f>
        <v>26967</v>
      </c>
      <c r="D30" s="15">
        <f>D22+D29</f>
        <v>51924.5</v>
      </c>
      <c r="E30" s="15">
        <f>E22+E29</f>
        <v>20694.620000000024</v>
      </c>
      <c r="F30" s="15">
        <f>F22+F29</f>
        <v>38144.835400000011</v>
      </c>
      <c r="G30" s="15">
        <f>G22+G29</f>
        <v>51744.32013800001</v>
      </c>
    </row>
    <row r="31" spans="1:7" ht="30" customHeight="1" x14ac:dyDescent="0.3">
      <c r="A31" s="1" t="s">
        <v>43</v>
      </c>
      <c r="B31" s="15"/>
      <c r="C31" s="15">
        <f>-C30*$B$2</f>
        <v>-2696.7000000000003</v>
      </c>
      <c r="D31" s="15">
        <f>-D30*$B$2</f>
        <v>-5192.4500000000007</v>
      </c>
      <c r="E31" s="15">
        <f>-E30*$B$2</f>
        <v>-2069.4620000000027</v>
      </c>
      <c r="F31" s="15">
        <f>-F30*$B$2</f>
        <v>-3814.4835400000011</v>
      </c>
      <c r="G31" s="15">
        <f>-G30*$B$2</f>
        <v>-5174.4320138000012</v>
      </c>
    </row>
    <row r="32" spans="1:7" ht="30" customHeight="1" x14ac:dyDescent="0.3">
      <c r="A32" s="1" t="s">
        <v>44</v>
      </c>
      <c r="B32" s="15"/>
      <c r="C32" s="15">
        <f>C30+C31</f>
        <v>24270.3</v>
      </c>
      <c r="D32" s="15">
        <f t="shared" ref="D32:G32" si="2">D30+D31</f>
        <v>46732.05</v>
      </c>
      <c r="E32" s="15">
        <f t="shared" si="2"/>
        <v>18625.158000000021</v>
      </c>
      <c r="F32" s="15">
        <f t="shared" si="2"/>
        <v>34330.35186000001</v>
      </c>
      <c r="G32" s="15">
        <f t="shared" si="2"/>
        <v>46569.888124200006</v>
      </c>
    </row>
    <row r="34" spans="1:11" ht="30" customHeight="1" x14ac:dyDescent="0.3">
      <c r="A34" s="25" t="s">
        <v>78</v>
      </c>
      <c r="B34" s="25"/>
      <c r="C34" s="25"/>
      <c r="D34" s="25"/>
    </row>
    <row r="36" spans="1:11" ht="30" customHeight="1" x14ac:dyDescent="0.3">
      <c r="A36" s="1"/>
      <c r="B36" s="1">
        <v>0</v>
      </c>
      <c r="C36" s="1">
        <v>1</v>
      </c>
      <c r="D36" s="1">
        <v>2</v>
      </c>
      <c r="E36" s="1">
        <v>3</v>
      </c>
      <c r="F36" s="1">
        <v>4</v>
      </c>
      <c r="G36" s="1">
        <v>5</v>
      </c>
      <c r="I36" s="1" t="s">
        <v>45</v>
      </c>
      <c r="J36" s="1" t="s">
        <v>73</v>
      </c>
      <c r="K36" s="1" t="s">
        <v>76</v>
      </c>
    </row>
    <row r="37" spans="1:11" ht="30" customHeight="1" x14ac:dyDescent="0.3">
      <c r="A37" s="1" t="s">
        <v>69</v>
      </c>
      <c r="B37" s="15"/>
      <c r="C37" s="15">
        <f>C32</f>
        <v>24270.3</v>
      </c>
      <c r="D37" s="15">
        <f>D32</f>
        <v>46732.05</v>
      </c>
      <c r="E37" s="15">
        <f>E32</f>
        <v>18625.158000000021</v>
      </c>
      <c r="F37" s="15">
        <f>F32</f>
        <v>34330.35186000001</v>
      </c>
      <c r="G37" s="15">
        <f>G32</f>
        <v>46569.888124200006</v>
      </c>
      <c r="I37" s="1">
        <v>0</v>
      </c>
      <c r="J37" s="15">
        <f>B41</f>
        <v>-60220</v>
      </c>
      <c r="K37" s="15">
        <f>J37</f>
        <v>-60220</v>
      </c>
    </row>
    <row r="38" spans="1:11" ht="30" customHeight="1" x14ac:dyDescent="0.3">
      <c r="A38" s="1" t="s">
        <v>70</v>
      </c>
      <c r="B38" s="15"/>
      <c r="C38" s="15">
        <f>-C27</f>
        <v>4744</v>
      </c>
      <c r="D38" s="15">
        <f>-D27</f>
        <v>4744</v>
      </c>
      <c r="E38" s="15">
        <f>-E27</f>
        <v>5808</v>
      </c>
      <c r="F38" s="15">
        <f>-F27</f>
        <v>5808</v>
      </c>
      <c r="G38" s="15">
        <f>-G27</f>
        <v>5988</v>
      </c>
      <c r="I38" s="1">
        <v>1</v>
      </c>
      <c r="J38" s="15">
        <f>C41</f>
        <v>-29431.100000000002</v>
      </c>
      <c r="K38" s="15">
        <f>K37+J38</f>
        <v>-89651.1</v>
      </c>
    </row>
    <row r="39" spans="1:11" ht="30" customHeight="1" x14ac:dyDescent="0.3">
      <c r="A39" s="1" t="s">
        <v>71</v>
      </c>
      <c r="B39" s="15">
        <f>-'Operating Expences'!B59</f>
        <v>-60220</v>
      </c>
      <c r="C39" s="15">
        <f>-'Operating Expences'!C59</f>
        <v>0</v>
      </c>
      <c r="D39" s="15">
        <f>-'Operating Expences'!D59</f>
        <v>-6570</v>
      </c>
      <c r="E39" s="15">
        <f>-'Operating Expences'!E59</f>
        <v>0</v>
      </c>
      <c r="F39" s="15">
        <f>-'Operating Expences'!F59</f>
        <v>-1150</v>
      </c>
      <c r="G39" s="15">
        <f>-'Operating Expences'!G59</f>
        <v>0</v>
      </c>
      <c r="I39" s="1">
        <v>2</v>
      </c>
      <c r="J39" s="15">
        <f>D41</f>
        <v>30634.000000000007</v>
      </c>
      <c r="K39" s="15">
        <f t="shared" ref="K39:K42" si="3">K38+J39</f>
        <v>-59017.1</v>
      </c>
    </row>
    <row r="40" spans="1:11" ht="30" customHeight="1" x14ac:dyDescent="0.3">
      <c r="A40" s="1" t="s">
        <v>51</v>
      </c>
      <c r="B40" s="15"/>
      <c r="C40" s="15">
        <f>C50</f>
        <v>-58445.4</v>
      </c>
      <c r="D40" s="15">
        <f t="shared" ref="D40:G40" si="4">D50</f>
        <v>-14272.049999999996</v>
      </c>
      <c r="E40" s="15">
        <f t="shared" si="4"/>
        <v>-14272.050000000003</v>
      </c>
      <c r="F40" s="15">
        <f t="shared" si="4"/>
        <v>-14272.050000000003</v>
      </c>
      <c r="G40" s="15">
        <f t="shared" si="4"/>
        <v>-15629.25</v>
      </c>
      <c r="I40" s="1">
        <v>3</v>
      </c>
      <c r="J40" s="15">
        <f>E41</f>
        <v>10161.108000000018</v>
      </c>
      <c r="K40" s="15">
        <f t="shared" si="3"/>
        <v>-48855.991999999984</v>
      </c>
    </row>
    <row r="41" spans="1:11" ht="30" customHeight="1" x14ac:dyDescent="0.3">
      <c r="A41" s="1" t="s">
        <v>80</v>
      </c>
      <c r="B41" s="15">
        <f>SUM(B37:B40)</f>
        <v>-60220</v>
      </c>
      <c r="C41" s="15">
        <f t="shared" ref="C41:G41" si="5">SUM(C37:C40)</f>
        <v>-29431.100000000002</v>
      </c>
      <c r="D41" s="15">
        <f t="shared" si="5"/>
        <v>30634.000000000007</v>
      </c>
      <c r="E41" s="15">
        <f t="shared" si="5"/>
        <v>10161.108000000018</v>
      </c>
      <c r="F41" s="15">
        <f t="shared" si="5"/>
        <v>24716.301860000007</v>
      </c>
      <c r="G41" s="15">
        <f t="shared" si="5"/>
        <v>36928.638124200006</v>
      </c>
      <c r="I41" s="1">
        <v>4</v>
      </c>
      <c r="J41" s="15">
        <f>F41</f>
        <v>24716.301860000007</v>
      </c>
      <c r="K41" s="15">
        <f t="shared" si="3"/>
        <v>-24139.690139999977</v>
      </c>
    </row>
    <row r="42" spans="1:11" ht="30" customHeight="1" x14ac:dyDescent="0.3">
      <c r="A42" s="1" t="s">
        <v>81</v>
      </c>
      <c r="B42" s="15"/>
      <c r="C42" s="15"/>
      <c r="D42" s="15"/>
      <c r="E42" s="15"/>
      <c r="F42" s="15"/>
      <c r="G42" s="15">
        <f>(G41*(1+B5))/(B3-B5)</f>
        <v>223744.10157603535</v>
      </c>
      <c r="I42" s="1">
        <v>5</v>
      </c>
      <c r="J42" s="15">
        <f>G41</f>
        <v>36928.638124200006</v>
      </c>
      <c r="K42" s="15">
        <f t="shared" si="3"/>
        <v>12788.947984200029</v>
      </c>
    </row>
    <row r="43" spans="1:11" ht="30" customHeight="1" x14ac:dyDescent="0.3">
      <c r="A43" s="1" t="s">
        <v>82</v>
      </c>
      <c r="B43" s="15">
        <f>SUM(B41:B42)</f>
        <v>-60220</v>
      </c>
      <c r="C43" s="15">
        <f>SUM(C41:C42)</f>
        <v>-29431.100000000002</v>
      </c>
      <c r="D43" s="15">
        <f t="shared" ref="D43:G43" si="6">SUM(D41:D42)</f>
        <v>30634.000000000007</v>
      </c>
      <c r="E43" s="15">
        <f t="shared" si="6"/>
        <v>10161.108000000018</v>
      </c>
      <c r="F43" s="15">
        <f t="shared" si="6"/>
        <v>24716.301860000007</v>
      </c>
      <c r="G43" s="15">
        <f t="shared" si="6"/>
        <v>260672.73970023537</v>
      </c>
    </row>
    <row r="44" spans="1:11" ht="30" customHeight="1" x14ac:dyDescent="0.3">
      <c r="A44" s="1" t="s">
        <v>79</v>
      </c>
      <c r="B44" s="15">
        <f>B43/(1+$B$3)^B36</f>
        <v>-60220</v>
      </c>
      <c r="C44" s="15">
        <f t="shared" ref="C44:G44" si="7">C43/(1+$B$3)^C36</f>
        <v>-24525.916666666668</v>
      </c>
      <c r="D44" s="15">
        <f t="shared" si="7"/>
        <v>21273.611111111117</v>
      </c>
      <c r="E44" s="15">
        <f t="shared" si="7"/>
        <v>5880.2708333333439</v>
      </c>
      <c r="F44" s="15">
        <f t="shared" si="7"/>
        <v>11919.512856867288</v>
      </c>
      <c r="G44" s="15">
        <f t="shared" si="7"/>
        <v>104758.52772160951</v>
      </c>
    </row>
    <row r="45" spans="1:11" ht="30" customHeight="1" x14ac:dyDescent="0.3">
      <c r="A45" s="13" t="s">
        <v>74</v>
      </c>
      <c r="B45" s="20">
        <f>NPV(B3,C43:G43)+B43</f>
        <v>59086.005856254589</v>
      </c>
    </row>
    <row r="46" spans="1:11" ht="30" customHeight="1" x14ac:dyDescent="0.3">
      <c r="A46" s="13" t="s">
        <v>75</v>
      </c>
      <c r="B46" s="14">
        <f>IRR(B43:G43)</f>
        <v>0.36829633592171551</v>
      </c>
    </row>
    <row r="47" spans="1:11" ht="30" customHeight="1" x14ac:dyDescent="0.3">
      <c r="A47" s="1" t="s">
        <v>77</v>
      </c>
      <c r="B47" s="1">
        <f>I41-K41/J42</f>
        <v>4.6536848193213167</v>
      </c>
    </row>
    <row r="49" spans="1:7" ht="30" customHeight="1" x14ac:dyDescent="0.3">
      <c r="A49" s="1" t="s">
        <v>51</v>
      </c>
      <c r="B49" s="1"/>
      <c r="C49" s="15">
        <f>C20*$B$4</f>
        <v>58445.4</v>
      </c>
      <c r="D49" s="15">
        <f t="shared" ref="D49:G49" si="8">D20*$B$4</f>
        <v>72717.45</v>
      </c>
      <c r="E49" s="15">
        <f t="shared" si="8"/>
        <v>86989.5</v>
      </c>
      <c r="F49" s="15">
        <f t="shared" si="8"/>
        <v>101261.55</v>
      </c>
      <c r="G49" s="15">
        <f t="shared" si="8"/>
        <v>116890.8</v>
      </c>
    </row>
    <row r="50" spans="1:7" ht="30" customHeight="1" x14ac:dyDescent="0.3">
      <c r="A50" s="1" t="s">
        <v>114</v>
      </c>
      <c r="B50" s="1"/>
      <c r="C50" s="15">
        <f>B49-C49</f>
        <v>-58445.4</v>
      </c>
      <c r="D50" s="15">
        <f t="shared" ref="D50:G50" si="9">C49-D49</f>
        <v>-14272.049999999996</v>
      </c>
      <c r="E50" s="15">
        <f>D49-E49</f>
        <v>-14272.050000000003</v>
      </c>
      <c r="F50" s="15">
        <f t="shared" si="9"/>
        <v>-14272.050000000003</v>
      </c>
      <c r="G50" s="15">
        <f>F49-G49</f>
        <v>-15629.25</v>
      </c>
    </row>
    <row r="75" spans="1:7" ht="30" customHeight="1" x14ac:dyDescent="0.3">
      <c r="A75" s="4"/>
      <c r="C75" s="5"/>
      <c r="D75" s="5"/>
      <c r="E75" s="5"/>
      <c r="F75" s="5"/>
      <c r="G75" s="5"/>
    </row>
    <row r="76" spans="1:7" ht="30" customHeight="1" x14ac:dyDescent="0.3">
      <c r="A76" s="4"/>
      <c r="C76" s="6"/>
      <c r="D76" s="6"/>
      <c r="E76" s="6"/>
      <c r="F76" s="6"/>
      <c r="G76" s="6"/>
    </row>
    <row r="77" spans="1:7" ht="30" customHeight="1" x14ac:dyDescent="0.3">
      <c r="A77" s="4"/>
      <c r="C77" s="6"/>
      <c r="D77" s="6"/>
      <c r="E77" s="6"/>
      <c r="F77" s="6"/>
      <c r="G77" s="6"/>
    </row>
    <row r="78" spans="1:7" ht="30" customHeight="1" x14ac:dyDescent="0.3">
      <c r="A78" s="4"/>
      <c r="C78" s="6"/>
      <c r="D78" s="6"/>
      <c r="E78" s="6"/>
      <c r="F78" s="6"/>
      <c r="G78" s="6"/>
    </row>
    <row r="79" spans="1:7" ht="30" customHeight="1" x14ac:dyDescent="0.3">
      <c r="A79" s="4"/>
      <c r="C79" s="6"/>
      <c r="D79" s="6"/>
      <c r="E79" s="6"/>
      <c r="F79" s="6"/>
      <c r="G79" s="6"/>
    </row>
    <row r="80" spans="1:7" ht="30" customHeight="1" x14ac:dyDescent="0.3">
      <c r="A80" s="4"/>
      <c r="C80" s="6"/>
      <c r="D80" s="6"/>
      <c r="E80" s="6"/>
      <c r="F80" s="6"/>
      <c r="G80" s="6"/>
    </row>
    <row r="81" spans="1:7" ht="30" customHeight="1" x14ac:dyDescent="0.3">
      <c r="A81" s="4"/>
      <c r="C81" s="6"/>
      <c r="D81" s="6"/>
      <c r="E81" s="6"/>
      <c r="F81" s="6"/>
      <c r="G81" s="6"/>
    </row>
    <row r="82" spans="1:7" ht="30" customHeight="1" x14ac:dyDescent="0.3">
      <c r="A82" s="4"/>
      <c r="C82" s="6"/>
      <c r="D82" s="6"/>
      <c r="E82" s="6"/>
      <c r="F82" s="6"/>
      <c r="G82" s="6"/>
    </row>
    <row r="83" spans="1:7" ht="30" customHeight="1" x14ac:dyDescent="0.3">
      <c r="C83" s="7"/>
      <c r="D83" s="7"/>
      <c r="E83" s="7"/>
      <c r="F83" s="7"/>
      <c r="G83" s="7"/>
    </row>
    <row r="84" spans="1:7" ht="30" customHeight="1" x14ac:dyDescent="0.3">
      <c r="A84" s="4"/>
      <c r="C84" s="6"/>
      <c r="D84" s="6"/>
      <c r="E84" s="6"/>
      <c r="F84" s="6"/>
      <c r="G84" s="6"/>
    </row>
    <row r="85" spans="1:7" ht="30" customHeight="1" x14ac:dyDescent="0.3">
      <c r="A85" s="4"/>
      <c r="C85" s="6"/>
      <c r="D85" s="6"/>
      <c r="E85" s="6"/>
      <c r="F85" s="6"/>
      <c r="G85" s="6"/>
    </row>
    <row r="86" spans="1:7" ht="30" customHeight="1" x14ac:dyDescent="0.3">
      <c r="A86" s="4"/>
      <c r="C86" s="6"/>
      <c r="D86" s="6"/>
      <c r="E86" s="6"/>
      <c r="F86" s="6"/>
      <c r="G86" s="6"/>
    </row>
    <row r="87" spans="1:7" ht="30" customHeight="1" x14ac:dyDescent="0.3">
      <c r="A87" s="4"/>
      <c r="C87" s="6"/>
      <c r="D87" s="6"/>
      <c r="E87" s="6"/>
      <c r="F87" s="6"/>
      <c r="G87" s="6"/>
    </row>
  </sheetData>
  <mergeCells count="2">
    <mergeCell ref="A17:B17"/>
    <mergeCell ref="A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C9D1-D1AB-4628-B716-383F272E701C}">
  <dimension ref="A1:J59"/>
  <sheetViews>
    <sheetView zoomScale="74" zoomScaleNormal="70" workbookViewId="0">
      <selection activeCell="H20" sqref="H20"/>
    </sheetView>
  </sheetViews>
  <sheetFormatPr defaultColWidth="14.33203125" defaultRowHeight="29.4" customHeight="1" x14ac:dyDescent="0.3"/>
  <cols>
    <col min="1" max="16384" width="14.33203125" style="2"/>
  </cols>
  <sheetData>
    <row r="1" spans="1:10" ht="29.4" customHeight="1" x14ac:dyDescent="0.3">
      <c r="A1" s="2" t="s">
        <v>14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3" spans="1:10" ht="29.4" customHeight="1" x14ac:dyDescent="0.3">
      <c r="A3" s="1" t="s">
        <v>58</v>
      </c>
      <c r="B3" s="1" t="s">
        <v>53</v>
      </c>
      <c r="C3" s="1" t="s">
        <v>2</v>
      </c>
      <c r="D3" s="1" t="s">
        <v>1</v>
      </c>
      <c r="E3" s="1" t="s">
        <v>3</v>
      </c>
      <c r="F3" s="1" t="s">
        <v>4</v>
      </c>
      <c r="G3" s="1" t="s">
        <v>5</v>
      </c>
    </row>
    <row r="4" spans="1:10" ht="29.4" customHeight="1" x14ac:dyDescent="0.3">
      <c r="A4" s="1" t="s">
        <v>6</v>
      </c>
      <c r="B4" s="9">
        <v>8400</v>
      </c>
      <c r="C4" s="1">
        <v>2</v>
      </c>
      <c r="D4" s="1">
        <v>2</v>
      </c>
      <c r="E4" s="1">
        <v>4</v>
      </c>
      <c r="F4" s="1">
        <v>4</v>
      </c>
      <c r="G4" s="1">
        <v>5</v>
      </c>
      <c r="H4" s="21" t="s">
        <v>83</v>
      </c>
    </row>
    <row r="5" spans="1:10" ht="29.4" customHeight="1" x14ac:dyDescent="0.3">
      <c r="A5" s="1" t="s">
        <v>7</v>
      </c>
      <c r="B5" s="9">
        <v>9000</v>
      </c>
      <c r="C5" s="1">
        <v>1</v>
      </c>
      <c r="D5" s="1">
        <v>1</v>
      </c>
      <c r="E5" s="1">
        <v>2</v>
      </c>
      <c r="F5" s="1">
        <v>2</v>
      </c>
      <c r="G5" s="1">
        <v>2</v>
      </c>
      <c r="H5" s="21" t="s">
        <v>83</v>
      </c>
    </row>
    <row r="6" spans="1:10" ht="29.4" customHeight="1" x14ac:dyDescent="0.3">
      <c r="A6" s="1" t="s">
        <v>54</v>
      </c>
      <c r="B6" s="9">
        <v>6600</v>
      </c>
      <c r="C6" s="1">
        <v>1</v>
      </c>
      <c r="D6" s="1">
        <v>1</v>
      </c>
      <c r="E6" s="1">
        <v>2</v>
      </c>
      <c r="F6" s="1">
        <v>2</v>
      </c>
      <c r="G6" s="1">
        <v>2</v>
      </c>
      <c r="H6" s="21" t="s">
        <v>83</v>
      </c>
    </row>
    <row r="7" spans="1:10" ht="29.4" customHeight="1" x14ac:dyDescent="0.3">
      <c r="A7" s="1" t="s">
        <v>8</v>
      </c>
      <c r="B7" s="9">
        <v>9000</v>
      </c>
      <c r="C7" s="1">
        <v>1</v>
      </c>
      <c r="D7" s="1">
        <v>1</v>
      </c>
      <c r="E7" s="1">
        <v>2</v>
      </c>
      <c r="F7" s="1">
        <v>2</v>
      </c>
      <c r="G7" s="1">
        <v>2</v>
      </c>
      <c r="H7" s="21" t="s">
        <v>83</v>
      </c>
    </row>
    <row r="8" spans="1:10" ht="29.4" customHeight="1" x14ac:dyDescent="0.3">
      <c r="A8" s="1" t="s">
        <v>9</v>
      </c>
      <c r="B8" s="9">
        <v>6000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21" t="s">
        <v>83</v>
      </c>
    </row>
    <row r="9" spans="1:10" ht="29.4" customHeight="1" x14ac:dyDescent="0.3">
      <c r="A9" s="1" t="s">
        <v>10</v>
      </c>
      <c r="B9" s="9">
        <v>4200</v>
      </c>
      <c r="C9" s="1">
        <v>2</v>
      </c>
      <c r="D9" s="1">
        <v>2</v>
      </c>
      <c r="E9" s="1">
        <v>4</v>
      </c>
      <c r="F9" s="1">
        <v>4</v>
      </c>
      <c r="G9" s="1">
        <v>4</v>
      </c>
      <c r="H9" s="21" t="s">
        <v>83</v>
      </c>
    </row>
    <row r="11" spans="1:10" ht="29.4" customHeight="1" x14ac:dyDescent="0.3">
      <c r="A11" s="2" t="s">
        <v>15</v>
      </c>
    </row>
    <row r="13" spans="1:10" ht="29.4" customHeight="1" x14ac:dyDescent="0.3">
      <c r="A13" s="1" t="s">
        <v>57</v>
      </c>
      <c r="B13" s="1" t="s">
        <v>31</v>
      </c>
      <c r="C13" s="1" t="s">
        <v>55</v>
      </c>
      <c r="D13" s="8" t="s">
        <v>56</v>
      </c>
      <c r="E13" s="1" t="s">
        <v>2</v>
      </c>
      <c r="F13" s="1" t="s">
        <v>1</v>
      </c>
      <c r="G13" s="1" t="s">
        <v>3</v>
      </c>
      <c r="H13" s="1" t="s">
        <v>4</v>
      </c>
      <c r="I13" s="1" t="s">
        <v>5</v>
      </c>
    </row>
    <row r="14" spans="1:10" ht="29.4" customHeight="1" x14ac:dyDescent="0.3">
      <c r="A14" s="1" t="s">
        <v>47</v>
      </c>
      <c r="B14" s="8">
        <v>650</v>
      </c>
      <c r="C14" s="1">
        <v>5</v>
      </c>
      <c r="D14" s="8">
        <f>B14/C14</f>
        <v>130</v>
      </c>
      <c r="E14" s="1">
        <f>SUM(C4:C8)</f>
        <v>6</v>
      </c>
      <c r="F14" s="1">
        <f t="shared" ref="F14:I14" si="0">SUM(D4:D8)</f>
        <v>6</v>
      </c>
      <c r="G14" s="1">
        <f t="shared" si="0"/>
        <v>11</v>
      </c>
      <c r="H14" s="1">
        <f t="shared" si="0"/>
        <v>11</v>
      </c>
      <c r="I14" s="1">
        <f t="shared" si="0"/>
        <v>12</v>
      </c>
      <c r="J14" s="22" t="s">
        <v>83</v>
      </c>
    </row>
    <row r="15" spans="1:10" ht="29.4" customHeight="1" x14ac:dyDescent="0.3">
      <c r="A15" s="1" t="s">
        <v>16</v>
      </c>
      <c r="B15" s="8">
        <v>410</v>
      </c>
      <c r="C15" s="1">
        <v>5</v>
      </c>
      <c r="D15" s="8">
        <f t="shared" ref="D15:D17" si="1">B15/C15</f>
        <v>82</v>
      </c>
      <c r="E15" s="1">
        <f>ROUND(E14/3,0)</f>
        <v>2</v>
      </c>
      <c r="F15" s="1">
        <f t="shared" ref="F15:I15" si="2">ROUND(F14/3,0)</f>
        <v>2</v>
      </c>
      <c r="G15" s="1">
        <f t="shared" si="2"/>
        <v>4</v>
      </c>
      <c r="H15" s="1">
        <f t="shared" si="2"/>
        <v>4</v>
      </c>
      <c r="I15" s="1">
        <f t="shared" si="2"/>
        <v>4</v>
      </c>
      <c r="J15" s="22" t="s">
        <v>83</v>
      </c>
    </row>
    <row r="16" spans="1:10" ht="29.4" customHeight="1" x14ac:dyDescent="0.3">
      <c r="A16" s="1" t="s">
        <v>48</v>
      </c>
      <c r="B16" s="8">
        <v>500</v>
      </c>
      <c r="C16" s="1">
        <v>10</v>
      </c>
      <c r="D16" s="8">
        <f t="shared" si="1"/>
        <v>50</v>
      </c>
      <c r="E16" s="1">
        <f>E14</f>
        <v>6</v>
      </c>
      <c r="F16" s="1">
        <f t="shared" ref="F16:I16" si="3">F14</f>
        <v>6</v>
      </c>
      <c r="G16" s="1">
        <f t="shared" si="3"/>
        <v>11</v>
      </c>
      <c r="H16" s="1">
        <f t="shared" si="3"/>
        <v>11</v>
      </c>
      <c r="I16" s="1">
        <f t="shared" si="3"/>
        <v>12</v>
      </c>
      <c r="J16" s="22" t="s">
        <v>83</v>
      </c>
    </row>
    <row r="17" spans="1:10" ht="29.4" customHeight="1" x14ac:dyDescent="0.3">
      <c r="A17" s="1" t="s">
        <v>17</v>
      </c>
      <c r="B17" s="8">
        <v>52500</v>
      </c>
      <c r="C17" s="1">
        <v>15</v>
      </c>
      <c r="D17" s="8">
        <f t="shared" si="1"/>
        <v>3500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22" t="s">
        <v>83</v>
      </c>
    </row>
    <row r="19" spans="1:10" ht="29.4" customHeight="1" x14ac:dyDescent="0.3">
      <c r="A19" s="2" t="s">
        <v>18</v>
      </c>
    </row>
    <row r="21" spans="1:10" ht="29.4" customHeight="1" x14ac:dyDescent="0.3">
      <c r="A21" s="1" t="s">
        <v>59</v>
      </c>
      <c r="B21" s="1" t="s">
        <v>60</v>
      </c>
      <c r="C21" s="1" t="s">
        <v>61</v>
      </c>
    </row>
    <row r="22" spans="1:10" ht="29.4" customHeight="1" x14ac:dyDescent="0.3">
      <c r="A22" s="1">
        <v>32</v>
      </c>
      <c r="B22" s="8">
        <f>20</f>
        <v>20</v>
      </c>
      <c r="C22" s="8">
        <f>A22*12*B22</f>
        <v>7680</v>
      </c>
      <c r="D22" s="26" t="s">
        <v>84</v>
      </c>
      <c r="E22" s="25"/>
    </row>
    <row r="23" spans="1:10" ht="29.4" customHeight="1" x14ac:dyDescent="0.3">
      <c r="A23" s="1">
        <v>50</v>
      </c>
      <c r="B23" s="8">
        <v>20</v>
      </c>
      <c r="C23" s="8">
        <f>A23*12*B23</f>
        <v>12000</v>
      </c>
      <c r="D23" s="26"/>
      <c r="E23" s="25"/>
    </row>
    <row r="25" spans="1:10" ht="29.4" customHeight="1" x14ac:dyDescent="0.3">
      <c r="A25" s="2" t="s">
        <v>62</v>
      </c>
    </row>
    <row r="27" spans="1:10" ht="29.4" customHeight="1" x14ac:dyDescent="0.3">
      <c r="A27" s="1" t="s">
        <v>58</v>
      </c>
      <c r="B27" s="1" t="s">
        <v>2</v>
      </c>
      <c r="C27" s="1" t="s">
        <v>1</v>
      </c>
      <c r="D27" s="1" t="s">
        <v>3</v>
      </c>
      <c r="E27" s="1" t="s">
        <v>4</v>
      </c>
      <c r="F27" s="1" t="s">
        <v>5</v>
      </c>
      <c r="G27" s="3">
        <v>0.05</v>
      </c>
    </row>
    <row r="28" spans="1:10" ht="29.4" customHeight="1" x14ac:dyDescent="0.3">
      <c r="A28" s="1" t="str">
        <f>A4</f>
        <v>Coordinator</v>
      </c>
      <c r="B28" s="8">
        <f>C4*$B4*((1+$G$27)^$B1)</f>
        <v>16800</v>
      </c>
      <c r="C28" s="8">
        <f t="shared" ref="C28:F28" si="4">D4*$B$4*((1+$G$27)^C1)</f>
        <v>17640</v>
      </c>
      <c r="D28" s="8">
        <f t="shared" si="4"/>
        <v>37044</v>
      </c>
      <c r="E28" s="8">
        <f t="shared" si="4"/>
        <v>38896.200000000004</v>
      </c>
      <c r="F28" s="8">
        <f t="shared" si="4"/>
        <v>51051.262499999997</v>
      </c>
      <c r="G28" s="2" t="s">
        <v>87</v>
      </c>
    </row>
    <row r="29" spans="1:10" ht="29.4" customHeight="1" x14ac:dyDescent="0.3">
      <c r="A29" s="1" t="str">
        <f t="shared" ref="A29:A33" si="5">A5</f>
        <v>Accountant</v>
      </c>
      <c r="B29" s="8">
        <f>C5*$B5*((1+$G$27)^B$1)</f>
        <v>9000</v>
      </c>
      <c r="C29" s="8">
        <f t="shared" ref="C29:F29" si="6">D5*$B5*((1+$G$27)^C1)</f>
        <v>9450</v>
      </c>
      <c r="D29" s="8">
        <f t="shared" si="6"/>
        <v>19845</v>
      </c>
      <c r="E29" s="8">
        <f t="shared" si="6"/>
        <v>20837.250000000004</v>
      </c>
      <c r="F29" s="8">
        <f t="shared" si="6"/>
        <v>21879.112499999999</v>
      </c>
    </row>
    <row r="30" spans="1:10" ht="29.4" customHeight="1" x14ac:dyDescent="0.3">
      <c r="A30" s="1" t="str">
        <f t="shared" si="5"/>
        <v>Marketing &amp; PR Specialist</v>
      </c>
      <c r="B30" s="8">
        <f>C6*$B6*((1+$G$27)^B1)</f>
        <v>6600</v>
      </c>
      <c r="C30" s="8">
        <f t="shared" ref="C30:F30" si="7">D6*$B6*((1+$G$27)^C1)</f>
        <v>6930</v>
      </c>
      <c r="D30" s="8">
        <f t="shared" si="7"/>
        <v>14553</v>
      </c>
      <c r="E30" s="8">
        <f t="shared" si="7"/>
        <v>15280.650000000001</v>
      </c>
      <c r="F30" s="8">
        <f t="shared" si="7"/>
        <v>16044.682500000001</v>
      </c>
    </row>
    <row r="31" spans="1:10" ht="29.4" customHeight="1" x14ac:dyDescent="0.3">
      <c r="A31" s="1" t="str">
        <f t="shared" si="5"/>
        <v>Sales Manager</v>
      </c>
      <c r="B31" s="8">
        <f>C7*$B7*((1+$G$27)^B1)</f>
        <v>9000</v>
      </c>
      <c r="C31" s="8">
        <f>D7*$B7*((1+$G$27)^C1)</f>
        <v>9450</v>
      </c>
      <c r="D31" s="8">
        <f t="shared" ref="D31:F31" si="8">E7*$B7*((1+$G$27)^D1)</f>
        <v>19845</v>
      </c>
      <c r="E31" s="8">
        <f t="shared" si="8"/>
        <v>20837.250000000004</v>
      </c>
      <c r="F31" s="8">
        <f t="shared" si="8"/>
        <v>21879.112499999999</v>
      </c>
    </row>
    <row r="32" spans="1:10" ht="29.4" customHeight="1" x14ac:dyDescent="0.3">
      <c r="A32" s="1" t="str">
        <f t="shared" si="5"/>
        <v>Office Manager</v>
      </c>
      <c r="B32" s="8">
        <f>C8*$B8*((1+$G$27)^B1)</f>
        <v>6000</v>
      </c>
      <c r="C32" s="8">
        <f t="shared" ref="C32:F32" si="9">D8*$B8*((1+$G$27)^C1)</f>
        <v>6300</v>
      </c>
      <c r="D32" s="8">
        <f t="shared" si="9"/>
        <v>6615</v>
      </c>
      <c r="E32" s="8">
        <f t="shared" si="9"/>
        <v>6945.7500000000009</v>
      </c>
      <c r="F32" s="8">
        <f t="shared" si="9"/>
        <v>7293.0375000000004</v>
      </c>
    </row>
    <row r="33" spans="1:8" ht="29.4" customHeight="1" x14ac:dyDescent="0.3">
      <c r="A33" s="1" t="str">
        <f t="shared" si="5"/>
        <v>Guide</v>
      </c>
      <c r="B33" s="8">
        <f>C9*$B9*((1+$G$27)^B1)</f>
        <v>8400</v>
      </c>
      <c r="C33" s="8">
        <f t="shared" ref="C33:F33" si="10">D9*$B9*((1+$G$27)^C1)</f>
        <v>8820</v>
      </c>
      <c r="D33" s="8">
        <f t="shared" si="10"/>
        <v>18522</v>
      </c>
      <c r="E33" s="8">
        <f t="shared" si="10"/>
        <v>19448.100000000002</v>
      </c>
      <c r="F33" s="8">
        <f t="shared" si="10"/>
        <v>20420.505000000001</v>
      </c>
    </row>
    <row r="34" spans="1:8" ht="29.4" customHeight="1" x14ac:dyDescent="0.3">
      <c r="A34" s="1" t="s">
        <v>33</v>
      </c>
      <c r="B34" s="8">
        <f>SUM(B28:B33)</f>
        <v>55800</v>
      </c>
      <c r="C34" s="8">
        <f t="shared" ref="C34:F34" si="11">SUM(C28:C33)</f>
        <v>58590</v>
      </c>
      <c r="D34" s="8">
        <f t="shared" si="11"/>
        <v>116424</v>
      </c>
      <c r="E34" s="8">
        <f t="shared" si="11"/>
        <v>122245.20000000001</v>
      </c>
      <c r="F34" s="8">
        <f t="shared" si="11"/>
        <v>138567.71249999999</v>
      </c>
    </row>
    <row r="36" spans="1:8" ht="29.4" customHeight="1" x14ac:dyDescent="0.3">
      <c r="A36" s="2" t="s">
        <v>63</v>
      </c>
    </row>
    <row r="38" spans="1:8" ht="29.4" customHeight="1" x14ac:dyDescent="0.3">
      <c r="B38" s="1" t="s">
        <v>2</v>
      </c>
      <c r="C38" s="1" t="s">
        <v>1</v>
      </c>
      <c r="D38" s="1" t="s">
        <v>3</v>
      </c>
      <c r="E38" s="1" t="s">
        <v>4</v>
      </c>
      <c r="F38" s="1" t="s">
        <v>5</v>
      </c>
      <c r="G38" s="3">
        <v>7.0000000000000007E-2</v>
      </c>
    </row>
    <row r="39" spans="1:8" ht="29.4" customHeight="1" x14ac:dyDescent="0.3">
      <c r="A39" s="1" t="s">
        <v>18</v>
      </c>
      <c r="B39" s="8">
        <f>C22</f>
        <v>7680</v>
      </c>
      <c r="C39" s="8">
        <f>B39</f>
        <v>7680</v>
      </c>
      <c r="D39" s="8">
        <f>C39</f>
        <v>7680</v>
      </c>
      <c r="E39" s="8">
        <f>C23</f>
        <v>12000</v>
      </c>
      <c r="F39" s="8">
        <f>E39</f>
        <v>12000</v>
      </c>
    </row>
    <row r="40" spans="1:8" ht="29.4" customHeight="1" x14ac:dyDescent="0.3">
      <c r="A40" s="1" t="s">
        <v>39</v>
      </c>
      <c r="B40" s="8">
        <v>12000</v>
      </c>
      <c r="C40" s="8">
        <f>B40*(1-$G$38)</f>
        <v>11160</v>
      </c>
      <c r="D40" s="8">
        <f>C40*(1-$G$38)</f>
        <v>10378.799999999999</v>
      </c>
      <c r="E40" s="8">
        <f>D40*(1-$G$38)</f>
        <v>9652.2839999999978</v>
      </c>
      <c r="F40" s="8">
        <f>E40*(1-$G$38)</f>
        <v>8976.6241199999968</v>
      </c>
      <c r="G40" s="26" t="s">
        <v>85</v>
      </c>
      <c r="H40" s="25"/>
    </row>
    <row r="41" spans="1:8" ht="29.4" customHeight="1" x14ac:dyDescent="0.3">
      <c r="A41" s="1" t="s">
        <v>40</v>
      </c>
      <c r="B41" s="8">
        <v>4200</v>
      </c>
      <c r="C41" s="8">
        <f>B41*(1+$G$38)</f>
        <v>4494</v>
      </c>
      <c r="D41" s="8">
        <f>C41*(1+$G$38)</f>
        <v>4808.58</v>
      </c>
      <c r="E41" s="8">
        <f>D41*(1+$G$38)</f>
        <v>5145.1806000000006</v>
      </c>
      <c r="F41" s="8">
        <f>E41*(1+$G$38)</f>
        <v>5505.3432420000008</v>
      </c>
      <c r="G41" s="26" t="s">
        <v>86</v>
      </c>
      <c r="H41" s="25"/>
    </row>
    <row r="43" spans="1:8" ht="29.4" customHeight="1" x14ac:dyDescent="0.3">
      <c r="A43" s="2" t="s">
        <v>46</v>
      </c>
    </row>
    <row r="45" spans="1:8" ht="29.4" customHeight="1" x14ac:dyDescent="0.3">
      <c r="A45" s="1" t="str">
        <f>A13</f>
        <v>Assets</v>
      </c>
      <c r="B45" s="1" t="str">
        <f>B38</f>
        <v>Year 1</v>
      </c>
      <c r="C45" s="1" t="str">
        <f t="shared" ref="C45:F45" si="12">C38</f>
        <v>Year 2</v>
      </c>
      <c r="D45" s="1" t="str">
        <f t="shared" si="12"/>
        <v>Year 3</v>
      </c>
      <c r="E45" s="1" t="str">
        <f t="shared" si="12"/>
        <v>Year 4</v>
      </c>
      <c r="F45" s="1" t="str">
        <f t="shared" si="12"/>
        <v>Year 5</v>
      </c>
    </row>
    <row r="46" spans="1:8" ht="29.4" customHeight="1" x14ac:dyDescent="0.3">
      <c r="A46" s="1" t="str">
        <f>A14</f>
        <v>Computer</v>
      </c>
      <c r="B46" s="8">
        <f>E14*$D$14</f>
        <v>780</v>
      </c>
      <c r="C46" s="8">
        <f t="shared" ref="C46:F46" si="13">F14*$D$14</f>
        <v>780</v>
      </c>
      <c r="D46" s="8">
        <f t="shared" si="13"/>
        <v>1430</v>
      </c>
      <c r="E46" s="8">
        <f t="shared" si="13"/>
        <v>1430</v>
      </c>
      <c r="F46" s="8">
        <f t="shared" si="13"/>
        <v>1560</v>
      </c>
    </row>
    <row r="47" spans="1:8" ht="29.4" customHeight="1" x14ac:dyDescent="0.3">
      <c r="A47" s="1" t="str">
        <f t="shared" ref="A47:A49" si="14">A15</f>
        <v>Printer</v>
      </c>
      <c r="B47" s="8">
        <f>E15*$D$15</f>
        <v>164</v>
      </c>
      <c r="C47" s="8">
        <f t="shared" ref="C47:F47" si="15">F15*$D$15</f>
        <v>164</v>
      </c>
      <c r="D47" s="8">
        <f t="shared" si="15"/>
        <v>328</v>
      </c>
      <c r="E47" s="8">
        <f t="shared" si="15"/>
        <v>328</v>
      </c>
      <c r="F47" s="8">
        <f t="shared" si="15"/>
        <v>328</v>
      </c>
    </row>
    <row r="48" spans="1:8" ht="29.4" customHeight="1" x14ac:dyDescent="0.3">
      <c r="A48" s="1" t="str">
        <f t="shared" si="14"/>
        <v>Office Furniture Set</v>
      </c>
      <c r="B48" s="8">
        <f>E16*$D$16</f>
        <v>300</v>
      </c>
      <c r="C48" s="8">
        <f t="shared" ref="C48:F48" si="16">F16*$D$16</f>
        <v>300</v>
      </c>
      <c r="D48" s="8">
        <f>G16*$D$16</f>
        <v>550</v>
      </c>
      <c r="E48" s="8">
        <f t="shared" si="16"/>
        <v>550</v>
      </c>
      <c r="F48" s="8">
        <f t="shared" si="16"/>
        <v>600</v>
      </c>
    </row>
    <row r="49" spans="1:7" ht="29.4" customHeight="1" x14ac:dyDescent="0.3">
      <c r="A49" s="1" t="str">
        <f t="shared" si="14"/>
        <v>Vehicle</v>
      </c>
      <c r="B49" s="8">
        <f>E17*$D$17</f>
        <v>3500</v>
      </c>
      <c r="C49" s="8">
        <f t="shared" ref="C49:F49" si="17">F17*$D$17</f>
        <v>3500</v>
      </c>
      <c r="D49" s="8">
        <f t="shared" si="17"/>
        <v>3500</v>
      </c>
      <c r="E49" s="8">
        <f t="shared" si="17"/>
        <v>3500</v>
      </c>
      <c r="F49" s="8">
        <f t="shared" si="17"/>
        <v>3500</v>
      </c>
    </row>
    <row r="50" spans="1:7" ht="29.4" customHeight="1" x14ac:dyDescent="0.3">
      <c r="A50" s="1" t="s">
        <v>33</v>
      </c>
      <c r="B50" s="8">
        <f>SUM(B46:B49)</f>
        <v>4744</v>
      </c>
      <c r="C50" s="8">
        <f t="shared" ref="C50:F50" si="18">SUM(C46:C49)</f>
        <v>4744</v>
      </c>
      <c r="D50" s="8">
        <f t="shared" si="18"/>
        <v>5808</v>
      </c>
      <c r="E50" s="8">
        <f t="shared" si="18"/>
        <v>5808</v>
      </c>
      <c r="F50" s="8">
        <f t="shared" si="18"/>
        <v>5988</v>
      </c>
    </row>
    <row r="52" spans="1:7" ht="29.4" customHeight="1" x14ac:dyDescent="0.3">
      <c r="A52" s="2" t="s">
        <v>71</v>
      </c>
    </row>
    <row r="54" spans="1:7" ht="29.4" customHeight="1" x14ac:dyDescent="0.3">
      <c r="A54" s="1" t="str">
        <f>A45</f>
        <v>Assets</v>
      </c>
      <c r="B54" s="1" t="s">
        <v>72</v>
      </c>
      <c r="C54" s="1" t="str">
        <f>B45</f>
        <v>Year 1</v>
      </c>
      <c r="D54" s="1" t="str">
        <f>C45</f>
        <v>Year 2</v>
      </c>
      <c r="E54" s="1" t="str">
        <f>D45</f>
        <v>Year 3</v>
      </c>
      <c r="F54" s="1" t="str">
        <f>E45</f>
        <v>Year 4</v>
      </c>
      <c r="G54" s="1" t="str">
        <f>F45</f>
        <v>Year 5</v>
      </c>
    </row>
    <row r="55" spans="1:7" ht="29.4" customHeight="1" x14ac:dyDescent="0.3">
      <c r="A55" s="1" t="str">
        <f>A46</f>
        <v>Computer</v>
      </c>
      <c r="B55" s="8">
        <f>$B$14*E14</f>
        <v>3900</v>
      </c>
      <c r="C55" s="8">
        <f>$B14*(F14-E14)</f>
        <v>0</v>
      </c>
      <c r="D55" s="8">
        <f t="shared" ref="D55:F58" si="19">$B14*(G14-F14)</f>
        <v>3250</v>
      </c>
      <c r="E55" s="8">
        <f t="shared" si="19"/>
        <v>0</v>
      </c>
      <c r="F55" s="8">
        <f t="shared" si="19"/>
        <v>650</v>
      </c>
      <c r="G55" s="8">
        <f>$B14*(I14-I14)</f>
        <v>0</v>
      </c>
    </row>
    <row r="56" spans="1:7" ht="29.4" customHeight="1" x14ac:dyDescent="0.3">
      <c r="A56" s="1" t="str">
        <f t="shared" ref="A56:A59" si="20">A47</f>
        <v>Printer</v>
      </c>
      <c r="B56" s="8">
        <f>$B$15*E15</f>
        <v>820</v>
      </c>
      <c r="C56" s="8">
        <f t="shared" ref="C56:C58" si="21">$B15*(F15-E15)</f>
        <v>0</v>
      </c>
      <c r="D56" s="8">
        <f t="shared" si="19"/>
        <v>820</v>
      </c>
      <c r="E56" s="8">
        <f t="shared" si="19"/>
        <v>0</v>
      </c>
      <c r="F56" s="8">
        <f t="shared" si="19"/>
        <v>0</v>
      </c>
      <c r="G56" s="8">
        <f t="shared" ref="G56:G59" si="22">$B15*(I15-I15)</f>
        <v>0</v>
      </c>
    </row>
    <row r="57" spans="1:7" ht="29.4" customHeight="1" x14ac:dyDescent="0.3">
      <c r="A57" s="1" t="str">
        <f t="shared" si="20"/>
        <v>Office Furniture Set</v>
      </c>
      <c r="B57" s="8">
        <f>$B$16*E16</f>
        <v>3000</v>
      </c>
      <c r="C57" s="8">
        <f t="shared" si="21"/>
        <v>0</v>
      </c>
      <c r="D57" s="8">
        <f t="shared" si="19"/>
        <v>2500</v>
      </c>
      <c r="E57" s="8">
        <f t="shared" si="19"/>
        <v>0</v>
      </c>
      <c r="F57" s="8">
        <f t="shared" si="19"/>
        <v>500</v>
      </c>
      <c r="G57" s="8">
        <f t="shared" si="22"/>
        <v>0</v>
      </c>
    </row>
    <row r="58" spans="1:7" ht="29.4" customHeight="1" x14ac:dyDescent="0.3">
      <c r="A58" s="1" t="str">
        <f t="shared" si="20"/>
        <v>Vehicle</v>
      </c>
      <c r="B58" s="8">
        <f>$B$17*E17</f>
        <v>52500</v>
      </c>
      <c r="C58" s="8">
        <f t="shared" si="21"/>
        <v>0</v>
      </c>
      <c r="D58" s="8">
        <f t="shared" si="19"/>
        <v>0</v>
      </c>
      <c r="E58" s="8">
        <f t="shared" si="19"/>
        <v>0</v>
      </c>
      <c r="F58" s="8">
        <f t="shared" si="19"/>
        <v>0</v>
      </c>
      <c r="G58" s="8">
        <f t="shared" si="22"/>
        <v>0</v>
      </c>
    </row>
    <row r="59" spans="1:7" ht="29.4" customHeight="1" x14ac:dyDescent="0.3">
      <c r="A59" s="1" t="str">
        <f t="shared" si="20"/>
        <v>Total</v>
      </c>
      <c r="B59" s="8">
        <f>SUM(B55:B58)</f>
        <v>60220</v>
      </c>
      <c r="C59" s="8">
        <f t="shared" ref="C59:F59" si="23">SUM(C55:C58)</f>
        <v>0</v>
      </c>
      <c r="D59" s="8">
        <f t="shared" si="23"/>
        <v>6570</v>
      </c>
      <c r="E59" s="8">
        <f t="shared" si="23"/>
        <v>0</v>
      </c>
      <c r="F59" s="8">
        <f t="shared" si="23"/>
        <v>1150</v>
      </c>
      <c r="G59" s="8">
        <f t="shared" si="22"/>
        <v>0</v>
      </c>
    </row>
  </sheetData>
  <mergeCells count="3">
    <mergeCell ref="D22:E23"/>
    <mergeCell ref="G40:H40"/>
    <mergeCell ref="G41:H41"/>
  </mergeCells>
  <phoneticPr fontId="2" type="noConversion"/>
  <hyperlinks>
    <hyperlink ref="H4" r:id="rId1" xr:uid="{620B9AF7-35F9-4D2A-A96F-C48E8CB297DD}"/>
    <hyperlink ref="H5" r:id="rId2" xr:uid="{EF3AB68B-5C21-4AC0-B92B-E5272F29B505}"/>
    <hyperlink ref="H6" r:id="rId3" xr:uid="{0B9AC89A-34C7-48B4-88B2-592C28C3FC64}"/>
    <hyperlink ref="H7" r:id="rId4" xr:uid="{793C3ABF-2834-4DD0-AD50-F634E18E2E66}"/>
    <hyperlink ref="H8" r:id="rId5" xr:uid="{B24C816B-F4E1-4406-8CC2-EF8DE1AA88FD}"/>
    <hyperlink ref="H9" r:id="rId6" xr:uid="{7AA67C2F-AB83-4964-BD9A-9E8A01BBC161}"/>
    <hyperlink ref="J14" r:id="rId7" xr:uid="{14DCA3E5-6910-4CDB-A7E5-38C169EA18F8}"/>
    <hyperlink ref="J15" r:id="rId8" xr:uid="{3F32C6C1-DEE3-4018-8285-28A89FBBE9FE}"/>
    <hyperlink ref="J16" r:id="rId9" xr:uid="{17A6CF81-78C7-4C20-BC34-1BD2DE1DEC58}"/>
    <hyperlink ref="J17" r:id="rId10" xr:uid="{583B6182-A5F3-4429-91C4-EDD269721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EA67-FDC8-43E8-80D0-F56B2C868AAC}">
  <dimension ref="A1:N46"/>
  <sheetViews>
    <sheetView tabSelected="1" zoomScale="69" zoomScaleNormal="100" workbookViewId="0">
      <selection activeCell="O12" sqref="O12"/>
    </sheetView>
  </sheetViews>
  <sheetFormatPr defaultColWidth="13.77734375" defaultRowHeight="27.6" customHeight="1" x14ac:dyDescent="0.3"/>
  <cols>
    <col min="1" max="16384" width="13.77734375" style="2"/>
  </cols>
  <sheetData>
    <row r="1" spans="1:14" ht="27.6" customHeight="1" x14ac:dyDescent="0.3">
      <c r="A1" s="2" t="s">
        <v>36</v>
      </c>
      <c r="B1" s="3">
        <v>0.4</v>
      </c>
    </row>
    <row r="3" spans="1:14" ht="27.6" customHeight="1" x14ac:dyDescent="0.3">
      <c r="A3" s="2" t="s">
        <v>64</v>
      </c>
    </row>
    <row r="5" spans="1:14" ht="27.6" customHeight="1" x14ac:dyDescent="0.3">
      <c r="A5" s="1" t="s">
        <v>49</v>
      </c>
      <c r="B5" s="1" t="s">
        <v>31</v>
      </c>
      <c r="C5" s="1" t="s">
        <v>32</v>
      </c>
      <c r="D5" s="1" t="s">
        <v>2</v>
      </c>
      <c r="E5" s="1" t="s">
        <v>1</v>
      </c>
      <c r="F5" s="1" t="s">
        <v>3</v>
      </c>
      <c r="G5" s="1" t="s">
        <v>4</v>
      </c>
      <c r="H5" s="1" t="s">
        <v>5</v>
      </c>
    </row>
    <row r="6" spans="1:14" ht="27.6" customHeight="1" x14ac:dyDescent="0.3">
      <c r="A6" s="1" t="s">
        <v>11</v>
      </c>
      <c r="B6" s="8">
        <v>194</v>
      </c>
      <c r="C6" s="8">
        <f>ROUND(B6*(1+$B$1),0)</f>
        <v>272</v>
      </c>
      <c r="D6" s="8">
        <f>ROUND(D$13*$I$6,0)</f>
        <v>144</v>
      </c>
      <c r="E6" s="8">
        <f t="shared" ref="E6:H6" si="0">ROUND(E$13*$I$6,0)</f>
        <v>180</v>
      </c>
      <c r="F6" s="8">
        <f t="shared" si="0"/>
        <v>216</v>
      </c>
      <c r="G6" s="8">
        <f t="shared" si="0"/>
        <v>252</v>
      </c>
      <c r="H6" s="8">
        <f t="shared" si="0"/>
        <v>288</v>
      </c>
      <c r="I6" s="3">
        <v>0.6</v>
      </c>
      <c r="J6" s="25" t="s">
        <v>88</v>
      </c>
      <c r="K6" s="25"/>
      <c r="L6" s="25"/>
    </row>
    <row r="7" spans="1:14" ht="27.6" customHeight="1" x14ac:dyDescent="0.3">
      <c r="A7" s="1" t="s">
        <v>12</v>
      </c>
      <c r="B7" s="8">
        <v>448</v>
      </c>
      <c r="C7" s="8">
        <f t="shared" ref="C7:C8" si="1">ROUND(B7*(1+$B$1),0)</f>
        <v>627</v>
      </c>
      <c r="D7" s="8">
        <f>ROUND(D$13*$I$7,0)</f>
        <v>72</v>
      </c>
      <c r="E7" s="8">
        <f t="shared" ref="E7:H7" si="2">ROUND(E$13*$I$7,0)</f>
        <v>90</v>
      </c>
      <c r="F7" s="8">
        <f t="shared" si="2"/>
        <v>108</v>
      </c>
      <c r="G7" s="8">
        <f t="shared" si="2"/>
        <v>126</v>
      </c>
      <c r="H7" s="8">
        <f t="shared" si="2"/>
        <v>144</v>
      </c>
      <c r="I7" s="3">
        <v>0.3</v>
      </c>
      <c r="J7" s="23" t="s">
        <v>83</v>
      </c>
    </row>
    <row r="8" spans="1:14" ht="27.6" customHeight="1" x14ac:dyDescent="0.3">
      <c r="A8" s="1" t="s">
        <v>13</v>
      </c>
      <c r="B8" s="8">
        <v>1075</v>
      </c>
      <c r="C8" s="8">
        <f t="shared" si="1"/>
        <v>1505</v>
      </c>
      <c r="D8" s="8">
        <f>D13-SUM(D6:D7)</f>
        <v>24</v>
      </c>
      <c r="E8" s="8">
        <f t="shared" ref="E8:H8" si="3">E13-SUM(E6:E7)</f>
        <v>30</v>
      </c>
      <c r="F8" s="8">
        <f t="shared" si="3"/>
        <v>36</v>
      </c>
      <c r="G8" s="8">
        <f t="shared" si="3"/>
        <v>42</v>
      </c>
      <c r="H8" s="8">
        <f t="shared" si="3"/>
        <v>48</v>
      </c>
      <c r="I8" s="3">
        <v>0.1</v>
      </c>
      <c r="J8" s="23" t="s">
        <v>83</v>
      </c>
    </row>
    <row r="10" spans="1:14" ht="27.6" customHeight="1" x14ac:dyDescent="0.3">
      <c r="A10" s="2" t="s">
        <v>65</v>
      </c>
    </row>
    <row r="11" spans="1:14" ht="27.6" customHeight="1" x14ac:dyDescent="0.3">
      <c r="A11" s="10"/>
    </row>
    <row r="12" spans="1:14" ht="27.6" customHeight="1" x14ac:dyDescent="0.3">
      <c r="A12" s="1" t="s">
        <v>65</v>
      </c>
      <c r="B12" s="1" t="str">
        <f>B5</f>
        <v>Cost</v>
      </c>
      <c r="C12" s="1" t="str">
        <f t="shared" ref="C12:H12" si="4">C5</f>
        <v>Price</v>
      </c>
      <c r="D12" s="1" t="str">
        <f t="shared" si="4"/>
        <v>Year 1</v>
      </c>
      <c r="E12" s="1" t="str">
        <f t="shared" si="4"/>
        <v>Year 2</v>
      </c>
      <c r="F12" s="1" t="str">
        <f t="shared" si="4"/>
        <v>Year 3</v>
      </c>
      <c r="G12" s="1" t="str">
        <f t="shared" si="4"/>
        <v>Year 4</v>
      </c>
      <c r="H12" s="1" t="str">
        <f t="shared" si="4"/>
        <v>Year 5</v>
      </c>
    </row>
    <row r="13" spans="1:14" ht="27.6" customHeight="1" x14ac:dyDescent="0.3">
      <c r="A13" s="11" t="s">
        <v>19</v>
      </c>
      <c r="B13" s="8">
        <v>10</v>
      </c>
      <c r="C13" s="8">
        <f>ROUND(B13*(1+$B$1),0)</f>
        <v>14</v>
      </c>
      <c r="D13" s="24">
        <v>240</v>
      </c>
      <c r="E13" s="24">
        <f>D13+60</f>
        <v>300</v>
      </c>
      <c r="F13" s="24">
        <f t="shared" ref="F13:H13" si="5">E13+60</f>
        <v>360</v>
      </c>
      <c r="G13" s="24">
        <f t="shared" si="5"/>
        <v>420</v>
      </c>
      <c r="H13" s="24">
        <f t="shared" si="5"/>
        <v>480</v>
      </c>
      <c r="I13" s="26" t="s">
        <v>89</v>
      </c>
      <c r="J13" s="25"/>
      <c r="K13" s="25"/>
      <c r="L13" s="25"/>
      <c r="M13" s="25"/>
      <c r="N13" s="25" t="s">
        <v>102</v>
      </c>
    </row>
    <row r="14" spans="1:14" ht="27.6" customHeight="1" x14ac:dyDescent="0.3">
      <c r="A14" s="11" t="s">
        <v>21</v>
      </c>
      <c r="B14" s="8">
        <v>48</v>
      </c>
      <c r="C14" s="8">
        <f t="shared" ref="C14:C25" si="6">ROUND(B14*(1+$B$1),0)</f>
        <v>67</v>
      </c>
      <c r="D14" s="24">
        <f>D13</f>
        <v>240</v>
      </c>
      <c r="E14" s="24">
        <f t="shared" ref="E14:H14" si="7">E13</f>
        <v>300</v>
      </c>
      <c r="F14" s="24">
        <f t="shared" si="7"/>
        <v>360</v>
      </c>
      <c r="G14" s="24">
        <f t="shared" si="7"/>
        <v>420</v>
      </c>
      <c r="H14" s="24">
        <f t="shared" si="7"/>
        <v>480</v>
      </c>
      <c r="I14" s="26" t="s">
        <v>90</v>
      </c>
      <c r="J14" s="25"/>
      <c r="K14" s="25"/>
      <c r="L14" s="25"/>
      <c r="M14" s="25"/>
      <c r="N14" s="25"/>
    </row>
    <row r="15" spans="1:14" ht="27.6" customHeight="1" x14ac:dyDescent="0.3">
      <c r="A15" s="11" t="s">
        <v>20</v>
      </c>
      <c r="B15" s="8">
        <v>30</v>
      </c>
      <c r="C15" s="8">
        <f t="shared" si="6"/>
        <v>42</v>
      </c>
      <c r="D15" s="24">
        <f>D13*2.5</f>
        <v>600</v>
      </c>
      <c r="E15" s="24">
        <f t="shared" ref="E15:H15" si="8">E13*2.5</f>
        <v>750</v>
      </c>
      <c r="F15" s="24">
        <f t="shared" si="8"/>
        <v>900</v>
      </c>
      <c r="G15" s="24">
        <f t="shared" si="8"/>
        <v>1050</v>
      </c>
      <c r="H15" s="24">
        <f t="shared" si="8"/>
        <v>1200</v>
      </c>
      <c r="I15" s="26" t="s">
        <v>91</v>
      </c>
      <c r="J15" s="25"/>
      <c r="K15" s="25"/>
      <c r="L15" s="25"/>
      <c r="M15" s="25"/>
      <c r="N15" s="25"/>
    </row>
    <row r="16" spans="1:14" ht="27.6" customHeight="1" x14ac:dyDescent="0.3">
      <c r="A16" s="11" t="s">
        <v>22</v>
      </c>
      <c r="B16" s="8">
        <v>92</v>
      </c>
      <c r="C16" s="8">
        <f t="shared" si="6"/>
        <v>129</v>
      </c>
      <c r="D16" s="24">
        <f>D15</f>
        <v>600</v>
      </c>
      <c r="E16" s="24">
        <f t="shared" ref="E16:H16" si="9">E15</f>
        <v>750</v>
      </c>
      <c r="F16" s="24">
        <f t="shared" si="9"/>
        <v>900</v>
      </c>
      <c r="G16" s="24">
        <f t="shared" si="9"/>
        <v>1050</v>
      </c>
      <c r="H16" s="24">
        <f t="shared" si="9"/>
        <v>1200</v>
      </c>
      <c r="I16" s="26" t="s">
        <v>92</v>
      </c>
      <c r="J16" s="25"/>
      <c r="K16" s="25"/>
      <c r="L16" s="25"/>
      <c r="M16" s="25"/>
      <c r="N16" s="25"/>
    </row>
    <row r="17" spans="1:14" ht="27.6" customHeight="1" x14ac:dyDescent="0.3">
      <c r="A17" s="11" t="s">
        <v>23</v>
      </c>
      <c r="B17" s="8">
        <v>248</v>
      </c>
      <c r="C17" s="8">
        <f t="shared" si="6"/>
        <v>347</v>
      </c>
      <c r="D17" s="24">
        <f>D13/4</f>
        <v>60</v>
      </c>
      <c r="E17" s="24">
        <f t="shared" ref="E17:H17" si="10">E13/4</f>
        <v>75</v>
      </c>
      <c r="F17" s="24">
        <f t="shared" si="10"/>
        <v>90</v>
      </c>
      <c r="G17" s="24">
        <f t="shared" si="10"/>
        <v>105</v>
      </c>
      <c r="H17" s="24">
        <f t="shared" si="10"/>
        <v>120</v>
      </c>
      <c r="I17" s="26" t="s">
        <v>93</v>
      </c>
      <c r="J17" s="25"/>
      <c r="K17" s="25"/>
      <c r="L17" s="25"/>
      <c r="M17" s="25"/>
      <c r="N17" s="25"/>
    </row>
    <row r="18" spans="1:14" ht="27.6" customHeight="1" x14ac:dyDescent="0.3">
      <c r="A18" s="11" t="s">
        <v>24</v>
      </c>
      <c r="B18" s="8">
        <v>76</v>
      </c>
      <c r="C18" s="8">
        <f t="shared" si="6"/>
        <v>106</v>
      </c>
      <c r="D18" s="24">
        <f>D13/10</f>
        <v>24</v>
      </c>
      <c r="E18" s="24">
        <f t="shared" ref="E18:H18" si="11">E13/10</f>
        <v>30</v>
      </c>
      <c r="F18" s="24">
        <f t="shared" si="11"/>
        <v>36</v>
      </c>
      <c r="G18" s="24">
        <f t="shared" si="11"/>
        <v>42</v>
      </c>
      <c r="H18" s="24">
        <f t="shared" si="11"/>
        <v>48</v>
      </c>
      <c r="I18" s="26" t="s">
        <v>94</v>
      </c>
      <c r="J18" s="25"/>
      <c r="K18" s="25"/>
      <c r="L18" s="25"/>
      <c r="M18" s="25"/>
      <c r="N18" s="25"/>
    </row>
    <row r="19" spans="1:14" ht="27.6" customHeight="1" x14ac:dyDescent="0.3">
      <c r="A19" s="11" t="s">
        <v>25</v>
      </c>
      <c r="B19" s="8">
        <v>24</v>
      </c>
      <c r="C19" s="8">
        <f t="shared" si="6"/>
        <v>34</v>
      </c>
      <c r="D19" s="24">
        <f>D18*1.5</f>
        <v>36</v>
      </c>
      <c r="E19" s="24">
        <f t="shared" ref="E19:H19" si="12">E18*1.5</f>
        <v>45</v>
      </c>
      <c r="F19" s="24">
        <f t="shared" si="12"/>
        <v>54</v>
      </c>
      <c r="G19" s="24">
        <f t="shared" si="12"/>
        <v>63</v>
      </c>
      <c r="H19" s="24">
        <f t="shared" si="12"/>
        <v>72</v>
      </c>
      <c r="I19" s="26" t="s">
        <v>95</v>
      </c>
      <c r="J19" s="25"/>
      <c r="K19" s="25"/>
      <c r="L19" s="25"/>
      <c r="M19" s="25"/>
      <c r="N19" s="25"/>
    </row>
    <row r="20" spans="1:14" ht="27.6" customHeight="1" x14ac:dyDescent="0.3">
      <c r="A20" s="11" t="s">
        <v>26</v>
      </c>
      <c r="B20" s="8">
        <v>545</v>
      </c>
      <c r="C20" s="8">
        <f t="shared" si="6"/>
        <v>763</v>
      </c>
      <c r="D20" s="24">
        <f>D18+D19/2</f>
        <v>42</v>
      </c>
      <c r="E20" s="24">
        <f t="shared" ref="E20:H20" si="13">E18+E19/2</f>
        <v>52.5</v>
      </c>
      <c r="F20" s="24">
        <f t="shared" si="13"/>
        <v>63</v>
      </c>
      <c r="G20" s="24">
        <f t="shared" si="13"/>
        <v>73.5</v>
      </c>
      <c r="H20" s="24">
        <f t="shared" si="13"/>
        <v>84</v>
      </c>
      <c r="I20" s="26" t="s">
        <v>96</v>
      </c>
      <c r="J20" s="25"/>
      <c r="K20" s="25"/>
      <c r="L20" s="25"/>
      <c r="M20" s="25"/>
      <c r="N20" s="25"/>
    </row>
    <row r="21" spans="1:14" ht="27.6" customHeight="1" x14ac:dyDescent="0.3">
      <c r="A21" s="11" t="s">
        <v>27</v>
      </c>
      <c r="B21" s="8">
        <v>151</v>
      </c>
      <c r="C21" s="8">
        <f t="shared" si="6"/>
        <v>211</v>
      </c>
      <c r="D21" s="24">
        <f>D22/3</f>
        <v>20</v>
      </c>
      <c r="E21" s="24">
        <f t="shared" ref="E21:H21" si="14">E22/3</f>
        <v>25</v>
      </c>
      <c r="F21" s="24">
        <f t="shared" si="14"/>
        <v>30</v>
      </c>
      <c r="G21" s="24">
        <f t="shared" si="14"/>
        <v>35</v>
      </c>
      <c r="H21" s="24">
        <f t="shared" si="14"/>
        <v>40</v>
      </c>
      <c r="I21" s="26" t="s">
        <v>98</v>
      </c>
      <c r="J21" s="25"/>
      <c r="K21" s="25"/>
      <c r="L21" s="25"/>
      <c r="M21" s="25"/>
      <c r="N21" s="25"/>
    </row>
    <row r="22" spans="1:14" ht="27.6" customHeight="1" x14ac:dyDescent="0.3">
      <c r="A22" s="11" t="s">
        <v>28</v>
      </c>
      <c r="B22" s="8">
        <v>303</v>
      </c>
      <c r="C22" s="8">
        <f t="shared" si="6"/>
        <v>424</v>
      </c>
      <c r="D22" s="24">
        <f>D13/4</f>
        <v>60</v>
      </c>
      <c r="E22" s="24">
        <f t="shared" ref="E22:H22" si="15">E13/4</f>
        <v>75</v>
      </c>
      <c r="F22" s="24">
        <f t="shared" si="15"/>
        <v>90</v>
      </c>
      <c r="G22" s="24">
        <f t="shared" si="15"/>
        <v>105</v>
      </c>
      <c r="H22" s="24">
        <f t="shared" si="15"/>
        <v>120</v>
      </c>
      <c r="I22" s="26" t="s">
        <v>97</v>
      </c>
      <c r="J22" s="25"/>
      <c r="K22" s="25"/>
      <c r="L22" s="25"/>
      <c r="M22" s="25"/>
      <c r="N22" s="25"/>
    </row>
    <row r="23" spans="1:14" ht="27.6" customHeight="1" x14ac:dyDescent="0.3">
      <c r="A23" s="11" t="s">
        <v>29</v>
      </c>
      <c r="B23" s="8">
        <v>252</v>
      </c>
      <c r="C23" s="8">
        <f t="shared" si="6"/>
        <v>353</v>
      </c>
      <c r="D23" s="24">
        <f>D22/2</f>
        <v>30</v>
      </c>
      <c r="E23" s="24">
        <f t="shared" ref="E23:H23" si="16">E22/2</f>
        <v>37.5</v>
      </c>
      <c r="F23" s="24">
        <f t="shared" si="16"/>
        <v>45</v>
      </c>
      <c r="G23" s="24">
        <f t="shared" si="16"/>
        <v>52.5</v>
      </c>
      <c r="H23" s="24">
        <f t="shared" si="16"/>
        <v>60</v>
      </c>
      <c r="I23" s="26" t="s">
        <v>99</v>
      </c>
      <c r="J23" s="25"/>
      <c r="K23" s="25"/>
      <c r="L23" s="25"/>
      <c r="M23" s="25"/>
      <c r="N23" s="25"/>
    </row>
    <row r="24" spans="1:14" ht="27.6" customHeight="1" x14ac:dyDescent="0.3">
      <c r="A24" s="11" t="s">
        <v>30</v>
      </c>
      <c r="B24" s="8">
        <v>6463</v>
      </c>
      <c r="C24" s="8">
        <f t="shared" si="6"/>
        <v>9048</v>
      </c>
      <c r="D24" s="24">
        <f>ROUND(D13/50,0)</f>
        <v>5</v>
      </c>
      <c r="E24" s="24">
        <f t="shared" ref="E24:H24" si="17">ROUND(E13/50,0)</f>
        <v>6</v>
      </c>
      <c r="F24" s="24">
        <f t="shared" si="17"/>
        <v>7</v>
      </c>
      <c r="G24" s="24">
        <f t="shared" si="17"/>
        <v>8</v>
      </c>
      <c r="H24" s="24">
        <f t="shared" si="17"/>
        <v>10</v>
      </c>
      <c r="I24" s="26" t="s">
        <v>100</v>
      </c>
      <c r="J24" s="25"/>
      <c r="K24" s="25"/>
      <c r="L24" s="25"/>
      <c r="M24" s="25"/>
      <c r="N24" s="25"/>
    </row>
    <row r="25" spans="1:14" ht="27.6" customHeight="1" x14ac:dyDescent="0.3">
      <c r="A25" s="11" t="s">
        <v>40</v>
      </c>
      <c r="B25" s="8">
        <v>10</v>
      </c>
      <c r="C25" s="8">
        <f t="shared" si="6"/>
        <v>14</v>
      </c>
      <c r="D25" s="24">
        <f>D13*1.5</f>
        <v>360</v>
      </c>
      <c r="E25" s="24">
        <f t="shared" ref="E25:H25" si="18">E13*1.5</f>
        <v>450</v>
      </c>
      <c r="F25" s="24">
        <f t="shared" si="18"/>
        <v>540</v>
      </c>
      <c r="G25" s="24">
        <f t="shared" si="18"/>
        <v>630</v>
      </c>
      <c r="H25" s="24">
        <f t="shared" si="18"/>
        <v>720</v>
      </c>
      <c r="I25" s="26" t="s">
        <v>101</v>
      </c>
      <c r="J25" s="25"/>
      <c r="K25" s="25"/>
      <c r="L25" s="25"/>
      <c r="M25" s="25"/>
      <c r="N25" s="25"/>
    </row>
    <row r="27" spans="1:14" ht="27.6" customHeight="1" x14ac:dyDescent="0.3">
      <c r="A27" s="2" t="s">
        <v>66</v>
      </c>
      <c r="H27" s="2" t="s">
        <v>34</v>
      </c>
    </row>
    <row r="29" spans="1:14" ht="27.6" customHeight="1" x14ac:dyDescent="0.3">
      <c r="A29" s="1" t="s">
        <v>66</v>
      </c>
      <c r="B29" s="1" t="str">
        <f>D12</f>
        <v>Year 1</v>
      </c>
      <c r="C29" s="1" t="str">
        <f t="shared" ref="C29:F29" si="19">E12</f>
        <v>Year 2</v>
      </c>
      <c r="D29" s="1" t="str">
        <f t="shared" si="19"/>
        <v>Year 3</v>
      </c>
      <c r="E29" s="1" t="str">
        <f t="shared" si="19"/>
        <v>Year 4</v>
      </c>
      <c r="F29" s="1" t="str">
        <f t="shared" si="19"/>
        <v>Year 5</v>
      </c>
      <c r="H29" s="1" t="str">
        <f>A29</f>
        <v>Revenue</v>
      </c>
      <c r="I29" s="1" t="str">
        <f t="shared" ref="I29:M29" si="20">B29</f>
        <v>Year 1</v>
      </c>
      <c r="J29" s="1" t="str">
        <f t="shared" si="20"/>
        <v>Year 2</v>
      </c>
      <c r="K29" s="1" t="str">
        <f t="shared" si="20"/>
        <v>Year 3</v>
      </c>
      <c r="L29" s="1" t="str">
        <f t="shared" si="20"/>
        <v>Year 4</v>
      </c>
      <c r="M29" s="1" t="str">
        <f t="shared" si="20"/>
        <v>Year 5</v>
      </c>
    </row>
    <row r="30" spans="1:14" ht="27.6" customHeight="1" x14ac:dyDescent="0.3">
      <c r="A30" s="1" t="str">
        <f>A6</f>
        <v>"Bronze"</v>
      </c>
      <c r="B30" s="8">
        <f>$C$6*D6</f>
        <v>39168</v>
      </c>
      <c r="C30" s="8">
        <f t="shared" ref="C30:F30" si="21">$C$6*E6</f>
        <v>48960</v>
      </c>
      <c r="D30" s="8">
        <f t="shared" si="21"/>
        <v>58752</v>
      </c>
      <c r="E30" s="8">
        <f t="shared" si="21"/>
        <v>68544</v>
      </c>
      <c r="F30" s="8">
        <f t="shared" si="21"/>
        <v>78336</v>
      </c>
      <c r="H30" s="1" t="str">
        <f t="shared" ref="H30:H46" si="22">A30</f>
        <v>"Bronze"</v>
      </c>
      <c r="I30" s="8">
        <f>$B6*D6</f>
        <v>27936</v>
      </c>
      <c r="J30" s="8">
        <f t="shared" ref="J30:M32" si="23">$B6*E6</f>
        <v>34920</v>
      </c>
      <c r="K30" s="8">
        <f t="shared" si="23"/>
        <v>41904</v>
      </c>
      <c r="L30" s="8">
        <f t="shared" si="23"/>
        <v>48888</v>
      </c>
      <c r="M30" s="8">
        <f t="shared" si="23"/>
        <v>55872</v>
      </c>
    </row>
    <row r="31" spans="1:14" ht="27.6" customHeight="1" x14ac:dyDescent="0.3">
      <c r="A31" s="1" t="str">
        <f>A7</f>
        <v>"Silver"</v>
      </c>
      <c r="B31" s="8">
        <f>$C$7*D7</f>
        <v>45144</v>
      </c>
      <c r="C31" s="8">
        <f t="shared" ref="C31:F31" si="24">$C$7*E7</f>
        <v>56430</v>
      </c>
      <c r="D31" s="8">
        <f t="shared" si="24"/>
        <v>67716</v>
      </c>
      <c r="E31" s="8">
        <f t="shared" si="24"/>
        <v>79002</v>
      </c>
      <c r="F31" s="8">
        <f t="shared" si="24"/>
        <v>90288</v>
      </c>
      <c r="H31" s="1" t="str">
        <f t="shared" si="22"/>
        <v>"Silver"</v>
      </c>
      <c r="I31" s="8">
        <f t="shared" ref="I31:I32" si="25">$B7*D7</f>
        <v>32256</v>
      </c>
      <c r="J31" s="8">
        <f t="shared" si="23"/>
        <v>40320</v>
      </c>
      <c r="K31" s="8">
        <f t="shared" si="23"/>
        <v>48384</v>
      </c>
      <c r="L31" s="8">
        <f t="shared" si="23"/>
        <v>56448</v>
      </c>
      <c r="M31" s="8">
        <f t="shared" si="23"/>
        <v>64512</v>
      </c>
    </row>
    <row r="32" spans="1:14" ht="27.6" customHeight="1" x14ac:dyDescent="0.3">
      <c r="A32" s="1" t="str">
        <f>A8</f>
        <v>"Gold"</v>
      </c>
      <c r="B32" s="8">
        <f>$C$8*D8</f>
        <v>36120</v>
      </c>
      <c r="C32" s="8">
        <f t="shared" ref="C32:F32" si="26">$C$8*E8</f>
        <v>45150</v>
      </c>
      <c r="D32" s="8">
        <f t="shared" si="26"/>
        <v>54180</v>
      </c>
      <c r="E32" s="8">
        <f t="shared" si="26"/>
        <v>63210</v>
      </c>
      <c r="F32" s="8">
        <f t="shared" si="26"/>
        <v>72240</v>
      </c>
      <c r="H32" s="1" t="str">
        <f t="shared" si="22"/>
        <v>"Gold"</v>
      </c>
      <c r="I32" s="8">
        <f t="shared" si="25"/>
        <v>25800</v>
      </c>
      <c r="J32" s="8">
        <f t="shared" si="23"/>
        <v>32250</v>
      </c>
      <c r="K32" s="8">
        <f t="shared" si="23"/>
        <v>38700</v>
      </c>
      <c r="L32" s="8">
        <f t="shared" si="23"/>
        <v>45150</v>
      </c>
      <c r="M32" s="8">
        <f t="shared" si="23"/>
        <v>51600</v>
      </c>
    </row>
    <row r="33" spans="1:13" ht="27.6" customHeight="1" x14ac:dyDescent="0.3">
      <c r="A33" s="1" t="str">
        <f>A13</f>
        <v>Check-Up</v>
      </c>
      <c r="B33" s="8">
        <f>$C$13*D13</f>
        <v>3360</v>
      </c>
      <c r="C33" s="8">
        <f t="shared" ref="C33:F33" si="27">$C$13*E13</f>
        <v>4200</v>
      </c>
      <c r="D33" s="8">
        <f t="shared" si="27"/>
        <v>5040</v>
      </c>
      <c r="E33" s="8">
        <f t="shared" si="27"/>
        <v>5880</v>
      </c>
      <c r="F33" s="8">
        <f t="shared" si="27"/>
        <v>6720</v>
      </c>
      <c r="H33" s="1" t="str">
        <f t="shared" si="22"/>
        <v>Check-Up</v>
      </c>
      <c r="I33" s="8">
        <f>$B13*D13</f>
        <v>2400</v>
      </c>
      <c r="J33" s="8">
        <f t="shared" ref="J33:M45" si="28">$B13*E13</f>
        <v>3000</v>
      </c>
      <c r="K33" s="8">
        <f t="shared" si="28"/>
        <v>3600</v>
      </c>
      <c r="L33" s="8">
        <f t="shared" si="28"/>
        <v>4200</v>
      </c>
      <c r="M33" s="8">
        <f t="shared" si="28"/>
        <v>4800</v>
      </c>
    </row>
    <row r="34" spans="1:13" ht="27.6" customHeight="1" x14ac:dyDescent="0.3">
      <c r="A34" s="1" t="str">
        <f t="shared" ref="A34:A45" si="29">A14</f>
        <v>Cleaning</v>
      </c>
      <c r="B34" s="8">
        <f>$C14*D14</f>
        <v>16080</v>
      </c>
      <c r="C34" s="8">
        <f t="shared" ref="C34:F45" si="30">$C14*E14</f>
        <v>20100</v>
      </c>
      <c r="D34" s="8">
        <f t="shared" si="30"/>
        <v>24120</v>
      </c>
      <c r="E34" s="8">
        <f t="shared" si="30"/>
        <v>28140</v>
      </c>
      <c r="F34" s="8">
        <f t="shared" si="30"/>
        <v>32160</v>
      </c>
      <c r="H34" s="1" t="str">
        <f t="shared" si="22"/>
        <v>Cleaning</v>
      </c>
      <c r="I34" s="8">
        <f t="shared" ref="I34:I45" si="31">$B14*D14</f>
        <v>11520</v>
      </c>
      <c r="J34" s="8">
        <f t="shared" si="28"/>
        <v>14400</v>
      </c>
      <c r="K34" s="8">
        <f t="shared" si="28"/>
        <v>17280</v>
      </c>
      <c r="L34" s="8">
        <f t="shared" si="28"/>
        <v>20160</v>
      </c>
      <c r="M34" s="8">
        <f t="shared" si="28"/>
        <v>23040</v>
      </c>
    </row>
    <row r="35" spans="1:13" ht="27.6" customHeight="1" x14ac:dyDescent="0.3">
      <c r="A35" s="1" t="str">
        <f t="shared" si="29"/>
        <v>Decay</v>
      </c>
      <c r="B35" s="8">
        <f t="shared" ref="B35:B45" si="32">$C15*D15</f>
        <v>25200</v>
      </c>
      <c r="C35" s="8">
        <f t="shared" si="30"/>
        <v>31500</v>
      </c>
      <c r="D35" s="8">
        <f t="shared" si="30"/>
        <v>37800</v>
      </c>
      <c r="E35" s="8">
        <f t="shared" si="30"/>
        <v>44100</v>
      </c>
      <c r="F35" s="8">
        <f t="shared" si="30"/>
        <v>50400</v>
      </c>
      <c r="H35" s="1" t="str">
        <f t="shared" si="22"/>
        <v>Decay</v>
      </c>
      <c r="I35" s="8">
        <f t="shared" si="31"/>
        <v>18000</v>
      </c>
      <c r="J35" s="8">
        <f t="shared" si="28"/>
        <v>22500</v>
      </c>
      <c r="K35" s="8">
        <f t="shared" si="28"/>
        <v>27000</v>
      </c>
      <c r="L35" s="8">
        <f t="shared" si="28"/>
        <v>31500</v>
      </c>
      <c r="M35" s="8">
        <f t="shared" si="28"/>
        <v>36000</v>
      </c>
    </row>
    <row r="36" spans="1:13" ht="27.6" customHeight="1" x14ac:dyDescent="0.3">
      <c r="A36" s="1" t="str">
        <f t="shared" si="29"/>
        <v>Filling</v>
      </c>
      <c r="B36" s="8">
        <f t="shared" si="32"/>
        <v>77400</v>
      </c>
      <c r="C36" s="8">
        <f t="shared" si="30"/>
        <v>96750</v>
      </c>
      <c r="D36" s="8">
        <f t="shared" si="30"/>
        <v>116100</v>
      </c>
      <c r="E36" s="8">
        <f t="shared" si="30"/>
        <v>135450</v>
      </c>
      <c r="F36" s="8">
        <f t="shared" si="30"/>
        <v>154800</v>
      </c>
      <c r="H36" s="1" t="str">
        <f t="shared" si="22"/>
        <v>Filling</v>
      </c>
      <c r="I36" s="8">
        <f t="shared" si="31"/>
        <v>55200</v>
      </c>
      <c r="J36" s="8">
        <f t="shared" si="28"/>
        <v>69000</v>
      </c>
      <c r="K36" s="8">
        <f t="shared" si="28"/>
        <v>82800</v>
      </c>
      <c r="L36" s="8">
        <f t="shared" si="28"/>
        <v>96600</v>
      </c>
      <c r="M36" s="8">
        <f t="shared" si="28"/>
        <v>110400</v>
      </c>
    </row>
    <row r="37" spans="1:13" ht="27.6" customHeight="1" x14ac:dyDescent="0.3">
      <c r="A37" s="1" t="str">
        <f t="shared" si="29"/>
        <v>Crown</v>
      </c>
      <c r="B37" s="8">
        <f t="shared" si="32"/>
        <v>20820</v>
      </c>
      <c r="C37" s="8">
        <f t="shared" si="30"/>
        <v>26025</v>
      </c>
      <c r="D37" s="8">
        <f t="shared" si="30"/>
        <v>31230</v>
      </c>
      <c r="E37" s="8">
        <f t="shared" si="30"/>
        <v>36435</v>
      </c>
      <c r="F37" s="8">
        <f t="shared" si="30"/>
        <v>41640</v>
      </c>
      <c r="H37" s="1" t="str">
        <f t="shared" si="22"/>
        <v>Crown</v>
      </c>
      <c r="I37" s="8">
        <f t="shared" si="31"/>
        <v>14880</v>
      </c>
      <c r="J37" s="8">
        <f t="shared" si="28"/>
        <v>18600</v>
      </c>
      <c r="K37" s="8">
        <f t="shared" si="28"/>
        <v>22320</v>
      </c>
      <c r="L37" s="8">
        <f t="shared" si="28"/>
        <v>26040</v>
      </c>
      <c r="M37" s="8">
        <f t="shared" si="28"/>
        <v>29760</v>
      </c>
    </row>
    <row r="38" spans="1:13" ht="27.6" customHeight="1" x14ac:dyDescent="0.3">
      <c r="A38" s="1" t="str">
        <f t="shared" si="29"/>
        <v>Delete</v>
      </c>
      <c r="B38" s="8">
        <f t="shared" si="32"/>
        <v>2544</v>
      </c>
      <c r="C38" s="8">
        <f t="shared" si="30"/>
        <v>3180</v>
      </c>
      <c r="D38" s="8">
        <f t="shared" si="30"/>
        <v>3816</v>
      </c>
      <c r="E38" s="8">
        <f t="shared" si="30"/>
        <v>4452</v>
      </c>
      <c r="F38" s="8">
        <f t="shared" si="30"/>
        <v>5088</v>
      </c>
      <c r="H38" s="1" t="str">
        <f t="shared" si="22"/>
        <v>Delete</v>
      </c>
      <c r="I38" s="8">
        <f t="shared" si="31"/>
        <v>1824</v>
      </c>
      <c r="J38" s="8">
        <f t="shared" si="28"/>
        <v>2280</v>
      </c>
      <c r="K38" s="8">
        <f t="shared" si="28"/>
        <v>2736</v>
      </c>
      <c r="L38" s="8">
        <f t="shared" si="28"/>
        <v>3192</v>
      </c>
      <c r="M38" s="8">
        <f t="shared" si="28"/>
        <v>3648</v>
      </c>
    </row>
    <row r="39" spans="1:13" ht="27.6" customHeight="1" x14ac:dyDescent="0.3">
      <c r="A39" s="1" t="str">
        <f t="shared" si="29"/>
        <v>Surgical Delete</v>
      </c>
      <c r="B39" s="8">
        <f t="shared" si="32"/>
        <v>1224</v>
      </c>
      <c r="C39" s="8">
        <f t="shared" si="30"/>
        <v>1530</v>
      </c>
      <c r="D39" s="8">
        <f t="shared" si="30"/>
        <v>1836</v>
      </c>
      <c r="E39" s="8">
        <f t="shared" si="30"/>
        <v>2142</v>
      </c>
      <c r="F39" s="8">
        <f t="shared" si="30"/>
        <v>2448</v>
      </c>
      <c r="H39" s="1" t="str">
        <f t="shared" si="22"/>
        <v>Surgical Delete</v>
      </c>
      <c r="I39" s="8">
        <f t="shared" si="31"/>
        <v>864</v>
      </c>
      <c r="J39" s="8">
        <f t="shared" si="28"/>
        <v>1080</v>
      </c>
      <c r="K39" s="8">
        <f t="shared" si="28"/>
        <v>1296</v>
      </c>
      <c r="L39" s="8">
        <f t="shared" si="28"/>
        <v>1512</v>
      </c>
      <c r="M39" s="8">
        <f t="shared" si="28"/>
        <v>1728</v>
      </c>
    </row>
    <row r="40" spans="1:13" ht="27.6" customHeight="1" x14ac:dyDescent="0.3">
      <c r="A40" s="1" t="str">
        <f t="shared" si="29"/>
        <v>Implants</v>
      </c>
      <c r="B40" s="8">
        <f t="shared" si="32"/>
        <v>32046</v>
      </c>
      <c r="C40" s="8">
        <f t="shared" si="30"/>
        <v>40057.5</v>
      </c>
      <c r="D40" s="8">
        <f t="shared" si="30"/>
        <v>48069</v>
      </c>
      <c r="E40" s="8">
        <f t="shared" si="30"/>
        <v>56080.5</v>
      </c>
      <c r="F40" s="8">
        <f t="shared" si="30"/>
        <v>64092</v>
      </c>
      <c r="H40" s="1" t="str">
        <f t="shared" si="22"/>
        <v>Implants</v>
      </c>
      <c r="I40" s="8">
        <f t="shared" si="31"/>
        <v>22890</v>
      </c>
      <c r="J40" s="8">
        <f t="shared" si="28"/>
        <v>28612.5</v>
      </c>
      <c r="K40" s="8">
        <f t="shared" si="28"/>
        <v>34335</v>
      </c>
      <c r="L40" s="8">
        <f t="shared" si="28"/>
        <v>40057.5</v>
      </c>
      <c r="M40" s="8">
        <f t="shared" si="28"/>
        <v>45780</v>
      </c>
    </row>
    <row r="41" spans="1:13" ht="27.6" customHeight="1" x14ac:dyDescent="0.3">
      <c r="A41" s="1" t="str">
        <f t="shared" si="29"/>
        <v>Plastins</v>
      </c>
      <c r="B41" s="8">
        <f t="shared" si="32"/>
        <v>4220</v>
      </c>
      <c r="C41" s="8">
        <f t="shared" si="30"/>
        <v>5275</v>
      </c>
      <c r="D41" s="8">
        <f t="shared" si="30"/>
        <v>6330</v>
      </c>
      <c r="E41" s="8">
        <f t="shared" si="30"/>
        <v>7385</v>
      </c>
      <c r="F41" s="8">
        <f t="shared" si="30"/>
        <v>8440</v>
      </c>
      <c r="H41" s="1" t="str">
        <f t="shared" si="22"/>
        <v>Plastins</v>
      </c>
      <c r="I41" s="8">
        <f t="shared" si="31"/>
        <v>3020</v>
      </c>
      <c r="J41" s="8">
        <f t="shared" si="28"/>
        <v>3775</v>
      </c>
      <c r="K41" s="8">
        <f t="shared" si="28"/>
        <v>4530</v>
      </c>
      <c r="L41" s="8">
        <f t="shared" si="28"/>
        <v>5285</v>
      </c>
      <c r="M41" s="8">
        <f t="shared" si="28"/>
        <v>6040</v>
      </c>
    </row>
    <row r="42" spans="1:13" ht="27.6" customHeight="1" x14ac:dyDescent="0.3">
      <c r="A42" s="1" t="str">
        <f t="shared" si="29"/>
        <v>Braces</v>
      </c>
      <c r="B42" s="8">
        <f t="shared" si="32"/>
        <v>25440</v>
      </c>
      <c r="C42" s="8">
        <f t="shared" si="30"/>
        <v>31800</v>
      </c>
      <c r="D42" s="8">
        <f t="shared" si="30"/>
        <v>38160</v>
      </c>
      <c r="E42" s="8">
        <f t="shared" si="30"/>
        <v>44520</v>
      </c>
      <c r="F42" s="8">
        <f t="shared" si="30"/>
        <v>50880</v>
      </c>
      <c r="H42" s="1" t="str">
        <f t="shared" si="22"/>
        <v>Braces</v>
      </c>
      <c r="I42" s="8">
        <f t="shared" si="31"/>
        <v>18180</v>
      </c>
      <c r="J42" s="8">
        <f t="shared" si="28"/>
        <v>22725</v>
      </c>
      <c r="K42" s="8">
        <f t="shared" si="28"/>
        <v>27270</v>
      </c>
      <c r="L42" s="8">
        <f t="shared" si="28"/>
        <v>31815</v>
      </c>
      <c r="M42" s="8">
        <f t="shared" si="28"/>
        <v>36360</v>
      </c>
    </row>
    <row r="43" spans="1:13" ht="27.6" customHeight="1" x14ac:dyDescent="0.3">
      <c r="A43" s="1" t="str">
        <f t="shared" si="29"/>
        <v>Veneers</v>
      </c>
      <c r="B43" s="8">
        <f t="shared" si="32"/>
        <v>10590</v>
      </c>
      <c r="C43" s="8">
        <f t="shared" si="30"/>
        <v>13237.5</v>
      </c>
      <c r="D43" s="8">
        <f t="shared" si="30"/>
        <v>15885</v>
      </c>
      <c r="E43" s="8">
        <f t="shared" si="30"/>
        <v>18532.5</v>
      </c>
      <c r="F43" s="8">
        <f t="shared" si="30"/>
        <v>21180</v>
      </c>
      <c r="H43" s="1" t="str">
        <f t="shared" si="22"/>
        <v>Veneers</v>
      </c>
      <c r="I43" s="8">
        <f t="shared" si="31"/>
        <v>7560</v>
      </c>
      <c r="J43" s="8">
        <f t="shared" si="28"/>
        <v>9450</v>
      </c>
      <c r="K43" s="8">
        <f t="shared" si="28"/>
        <v>11340</v>
      </c>
      <c r="L43" s="8">
        <f t="shared" si="28"/>
        <v>13230</v>
      </c>
      <c r="M43" s="8">
        <f t="shared" si="28"/>
        <v>15120</v>
      </c>
    </row>
    <row r="44" spans="1:13" ht="27.6" customHeight="1" x14ac:dyDescent="0.3">
      <c r="A44" s="1" t="str">
        <f t="shared" si="29"/>
        <v>Full Reconstruction</v>
      </c>
      <c r="B44" s="8">
        <f t="shared" si="32"/>
        <v>45240</v>
      </c>
      <c r="C44" s="8">
        <f t="shared" si="30"/>
        <v>54288</v>
      </c>
      <c r="D44" s="8">
        <f t="shared" si="30"/>
        <v>63336</v>
      </c>
      <c r="E44" s="8">
        <f t="shared" si="30"/>
        <v>72384</v>
      </c>
      <c r="F44" s="8">
        <f t="shared" si="30"/>
        <v>90480</v>
      </c>
      <c r="H44" s="1" t="str">
        <f t="shared" si="22"/>
        <v>Full Reconstruction</v>
      </c>
      <c r="I44" s="8">
        <f t="shared" si="31"/>
        <v>32315</v>
      </c>
      <c r="J44" s="8">
        <f t="shared" si="28"/>
        <v>38778</v>
      </c>
      <c r="K44" s="8">
        <f t="shared" si="28"/>
        <v>45241</v>
      </c>
      <c r="L44" s="8">
        <f t="shared" si="28"/>
        <v>51704</v>
      </c>
      <c r="M44" s="8">
        <f t="shared" si="28"/>
        <v>64630</v>
      </c>
    </row>
    <row r="45" spans="1:13" ht="27.6" customHeight="1" x14ac:dyDescent="0.3">
      <c r="A45" s="1" t="str">
        <f t="shared" si="29"/>
        <v>Other</v>
      </c>
      <c r="B45" s="8">
        <f t="shared" si="32"/>
        <v>5040</v>
      </c>
      <c r="C45" s="8">
        <f t="shared" si="30"/>
        <v>6300</v>
      </c>
      <c r="D45" s="8">
        <f t="shared" si="30"/>
        <v>7560</v>
      </c>
      <c r="E45" s="8">
        <f t="shared" si="30"/>
        <v>8820</v>
      </c>
      <c r="F45" s="8">
        <f t="shared" si="30"/>
        <v>10080</v>
      </c>
      <c r="H45" s="1" t="str">
        <f t="shared" si="22"/>
        <v>Other</v>
      </c>
      <c r="I45" s="8">
        <f t="shared" si="31"/>
        <v>3600</v>
      </c>
      <c r="J45" s="8">
        <f t="shared" si="28"/>
        <v>4500</v>
      </c>
      <c r="K45" s="8">
        <f t="shared" si="28"/>
        <v>5400</v>
      </c>
      <c r="L45" s="8">
        <f t="shared" si="28"/>
        <v>6300</v>
      </c>
      <c r="M45" s="8">
        <f t="shared" si="28"/>
        <v>7200</v>
      </c>
    </row>
    <row r="46" spans="1:13" ht="27.6" customHeight="1" x14ac:dyDescent="0.3">
      <c r="A46" s="1" t="s">
        <v>33</v>
      </c>
      <c r="B46" s="8">
        <f>SUM(B30:B45)</f>
        <v>389636</v>
      </c>
      <c r="C46" s="8">
        <f t="shared" ref="C46:F46" si="33">SUM(C30:C45)</f>
        <v>484783</v>
      </c>
      <c r="D46" s="8">
        <f t="shared" si="33"/>
        <v>579930</v>
      </c>
      <c r="E46" s="8">
        <f t="shared" si="33"/>
        <v>675077</v>
      </c>
      <c r="F46" s="8">
        <f t="shared" si="33"/>
        <v>779272</v>
      </c>
      <c r="H46" s="1" t="str">
        <f t="shared" si="22"/>
        <v>Total</v>
      </c>
      <c r="I46" s="8">
        <f>SUM(I30:I45)</f>
        <v>278245</v>
      </c>
      <c r="J46" s="8">
        <f t="shared" ref="J46:M46" si="34">SUM(J30:J45)</f>
        <v>346190.5</v>
      </c>
      <c r="K46" s="8">
        <f t="shared" si="34"/>
        <v>414136</v>
      </c>
      <c r="L46" s="8">
        <f t="shared" si="34"/>
        <v>482081.5</v>
      </c>
      <c r="M46" s="8">
        <f t="shared" si="34"/>
        <v>556490</v>
      </c>
    </row>
  </sheetData>
  <mergeCells count="15">
    <mergeCell ref="J6:L6"/>
    <mergeCell ref="I23:M23"/>
    <mergeCell ref="I24:M24"/>
    <mergeCell ref="I25:M25"/>
    <mergeCell ref="N13:N25"/>
    <mergeCell ref="I13:M13"/>
    <mergeCell ref="I14:M14"/>
    <mergeCell ref="I15:M15"/>
    <mergeCell ref="I16:M16"/>
    <mergeCell ref="I17:M17"/>
    <mergeCell ref="I18:M18"/>
    <mergeCell ref="I19:M19"/>
    <mergeCell ref="I20:M20"/>
    <mergeCell ref="I21:M21"/>
    <mergeCell ref="I22:M22"/>
  </mergeCells>
  <phoneticPr fontId="2" type="noConversion"/>
  <hyperlinks>
    <hyperlink ref="J7" r:id="rId1" xr:uid="{87A72802-706D-44E4-A73E-BBF18B0AB660}"/>
    <hyperlink ref="J8" r:id="rId2" xr:uid="{FC7E9A75-C607-4A24-AD41-6636395068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A32B-27F7-4B65-BD3D-6586B909E7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Operating Expences</vt:lpstr>
      <vt:lpstr>Gross Income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Yerassyl Kazhatulla</dc:creator>
  <cp:lastModifiedBy>Yerassyl Kazhatulla</cp:lastModifiedBy>
  <dcterms:created xsi:type="dcterms:W3CDTF">2024-11-21T10:15:22Z</dcterms:created>
  <dcterms:modified xsi:type="dcterms:W3CDTF">2024-11-28T14:30:48Z</dcterms:modified>
</cp:coreProperties>
</file>