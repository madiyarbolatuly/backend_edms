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knur/"/>
    </mc:Choice>
  </mc:AlternateContent>
  <xr:revisionPtr revIDLastSave="0" documentId="8_{0AC03A05-4F06-4F4A-A816-84805087077C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Operating Expenses" sheetId="1" r:id="rId1"/>
    <sheet name="Income Statement and FCF" sheetId="2" r:id="rId2"/>
    <sheet name="Gross Income and cost of produ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11" i="3" s="1"/>
  <c r="F5" i="3"/>
  <c r="F6" i="3" s="1"/>
  <c r="F17" i="2" s="1"/>
  <c r="E5" i="3"/>
  <c r="E6" i="3" s="1"/>
  <c r="E17" i="2" s="1"/>
  <c r="D5" i="3"/>
  <c r="D12" i="3" s="1"/>
  <c r="C5" i="3"/>
  <c r="C12" i="3" s="1"/>
  <c r="B40" i="2"/>
  <c r="B42" i="2" s="1"/>
  <c r="C26" i="2"/>
  <c r="C24" i="2"/>
  <c r="B52" i="1"/>
  <c r="B48" i="1"/>
  <c r="C40" i="2" s="1"/>
  <c r="D47" i="1"/>
  <c r="B47" i="1"/>
  <c r="F46" i="1"/>
  <c r="E46" i="1"/>
  <c r="D46" i="1"/>
  <c r="F45" i="1"/>
  <c r="E45" i="1"/>
  <c r="D45" i="1"/>
  <c r="D48" i="1" s="1"/>
  <c r="E40" i="2" s="1"/>
  <c r="F44" i="1"/>
  <c r="F48" i="1" s="1"/>
  <c r="G40" i="2" s="1"/>
  <c r="E44" i="1"/>
  <c r="E48" i="1" s="1"/>
  <c r="F40" i="2" s="1"/>
  <c r="D44" i="1"/>
  <c r="D40" i="1"/>
  <c r="F54" i="1" s="1"/>
  <c r="D39" i="1"/>
  <c r="C53" i="1" s="1"/>
  <c r="D38" i="1"/>
  <c r="F52" i="1" s="1"/>
  <c r="D37" i="1"/>
  <c r="E51" i="1" s="1"/>
  <c r="B27" i="1"/>
  <c r="F26" i="1"/>
  <c r="G25" i="2" s="1"/>
  <c r="E26" i="1"/>
  <c r="F25" i="2" s="1"/>
  <c r="D26" i="1"/>
  <c r="E25" i="2" s="1"/>
  <c r="C26" i="1"/>
  <c r="D25" i="2" s="1"/>
  <c r="B26" i="1"/>
  <c r="C25" i="2" s="1"/>
  <c r="C25" i="1"/>
  <c r="D25" i="1" s="1"/>
  <c r="D24" i="1"/>
  <c r="E26" i="2" s="1"/>
  <c r="C24" i="1"/>
  <c r="D26" i="2" s="1"/>
  <c r="C23" i="1"/>
  <c r="D23" i="2" s="1"/>
  <c r="B23" i="1"/>
  <c r="C23" i="2" s="1"/>
  <c r="C20" i="1"/>
  <c r="D21" i="2" s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E20" i="1" s="1"/>
  <c r="F21" i="2" s="1"/>
  <c r="D16" i="1"/>
  <c r="C16" i="1"/>
  <c r="B16" i="1"/>
  <c r="F15" i="1"/>
  <c r="F20" i="1" s="1"/>
  <c r="G21" i="2" s="1"/>
  <c r="E15" i="1"/>
  <c r="D15" i="1"/>
  <c r="D20" i="1" s="1"/>
  <c r="E21" i="2" s="1"/>
  <c r="C15" i="1"/>
  <c r="B15" i="1"/>
  <c r="B20" i="1" s="1"/>
  <c r="C21" i="2" s="1"/>
  <c r="F14" i="1"/>
  <c r="E14" i="1"/>
  <c r="D14" i="1"/>
  <c r="C14" i="1"/>
  <c r="B14" i="1"/>
  <c r="B51" i="2" l="1"/>
  <c r="C51" i="2" s="1"/>
  <c r="B44" i="2"/>
  <c r="E24" i="2"/>
  <c r="E25" i="1"/>
  <c r="E34" i="2"/>
  <c r="F34" i="2"/>
  <c r="E55" i="1"/>
  <c r="F22" i="2" s="1"/>
  <c r="F39" i="2" s="1"/>
  <c r="G13" i="3"/>
  <c r="G18" i="2" s="1"/>
  <c r="F51" i="1"/>
  <c r="F55" i="1" s="1"/>
  <c r="G22" i="2" s="1"/>
  <c r="G39" i="2" s="1"/>
  <c r="D53" i="1"/>
  <c r="G6" i="3"/>
  <c r="G17" i="2" s="1"/>
  <c r="E12" i="3"/>
  <c r="C11" i="3"/>
  <c r="C13" i="3" s="1"/>
  <c r="C18" i="2" s="1"/>
  <c r="F12" i="3"/>
  <c r="E24" i="1"/>
  <c r="E53" i="1"/>
  <c r="C52" i="1"/>
  <c r="F53" i="1"/>
  <c r="D11" i="3"/>
  <c r="D13" i="3" s="1"/>
  <c r="D18" i="2" s="1"/>
  <c r="G12" i="3"/>
  <c r="D52" i="1"/>
  <c r="B54" i="1"/>
  <c r="E11" i="3"/>
  <c r="E13" i="3" s="1"/>
  <c r="E18" i="2" s="1"/>
  <c r="E19" i="2" s="1"/>
  <c r="B51" i="1"/>
  <c r="E52" i="1"/>
  <c r="C54" i="1"/>
  <c r="D24" i="2"/>
  <c r="C6" i="3"/>
  <c r="C17" i="2" s="1"/>
  <c r="F11" i="3"/>
  <c r="F13" i="3" s="1"/>
  <c r="F18" i="2" s="1"/>
  <c r="F19" i="2" s="1"/>
  <c r="D23" i="1"/>
  <c r="C27" i="1"/>
  <c r="C51" i="1"/>
  <c r="D54" i="1"/>
  <c r="D6" i="3"/>
  <c r="D17" i="2" s="1"/>
  <c r="D51" i="1"/>
  <c r="B53" i="1"/>
  <c r="E54" i="1"/>
  <c r="C55" i="1" l="1"/>
  <c r="D22" i="2" s="1"/>
  <c r="B55" i="1"/>
  <c r="C22" i="2" s="1"/>
  <c r="F24" i="1"/>
  <c r="G26" i="2" s="1"/>
  <c r="F26" i="2"/>
  <c r="F25" i="1"/>
  <c r="G24" i="2" s="1"/>
  <c r="F24" i="2"/>
  <c r="D27" i="1"/>
  <c r="E23" i="1"/>
  <c r="E23" i="2"/>
  <c r="C19" i="2"/>
  <c r="C34" i="2"/>
  <c r="G35" i="2"/>
  <c r="G41" i="2" s="1"/>
  <c r="D55" i="1"/>
  <c r="E22" i="2" s="1"/>
  <c r="G19" i="2"/>
  <c r="G34" i="2"/>
  <c r="B45" i="2"/>
  <c r="D34" i="2"/>
  <c r="E35" i="2" s="1"/>
  <c r="E41" i="2" s="1"/>
  <c r="D19" i="2"/>
  <c r="F35" i="2"/>
  <c r="F41" i="2" s="1"/>
  <c r="D35" i="2" l="1"/>
  <c r="D41" i="2" s="1"/>
  <c r="C35" i="2"/>
  <c r="C41" i="2" s="1"/>
  <c r="C39" i="2"/>
  <c r="C27" i="2"/>
  <c r="C28" i="2" s="1"/>
  <c r="D28" i="2"/>
  <c r="E27" i="1"/>
  <c r="F23" i="1"/>
  <c r="F23" i="2"/>
  <c r="F27" i="2" s="1"/>
  <c r="F28" i="2" s="1"/>
  <c r="D39" i="2"/>
  <c r="D27" i="2"/>
  <c r="E39" i="2"/>
  <c r="E27" i="2"/>
  <c r="E28" i="2" s="1"/>
  <c r="C29" i="2" l="1"/>
  <c r="C30" i="2"/>
  <c r="C38" i="2" s="1"/>
  <c r="C42" i="2" s="1"/>
  <c r="G23" i="2"/>
  <c r="G27" i="2" s="1"/>
  <c r="G28" i="2" s="1"/>
  <c r="F27" i="1"/>
  <c r="E29" i="2"/>
  <c r="E30" i="2" s="1"/>
  <c r="E38" i="2" s="1"/>
  <c r="E42" i="2" s="1"/>
  <c r="F29" i="2"/>
  <c r="F30" i="2"/>
  <c r="F38" i="2" s="1"/>
  <c r="F42" i="2" s="1"/>
  <c r="D29" i="2"/>
  <c r="D30" i="2"/>
  <c r="D38" i="2" s="1"/>
  <c r="D42" i="2" s="1"/>
  <c r="E44" i="2" l="1"/>
  <c r="E45" i="2" s="1"/>
  <c r="B54" i="2"/>
  <c r="F44" i="2"/>
  <c r="F45" i="2" s="1"/>
  <c r="B55" i="2"/>
  <c r="G29" i="2"/>
  <c r="G30" i="2" s="1"/>
  <c r="G38" i="2" s="1"/>
  <c r="G42" i="2" s="1"/>
  <c r="B53" i="2"/>
  <c r="D44" i="2"/>
  <c r="D45" i="2" s="1"/>
  <c r="B52" i="2"/>
  <c r="C52" i="2" s="1"/>
  <c r="C44" i="2"/>
  <c r="B56" i="2" l="1"/>
  <c r="G43" i="2"/>
  <c r="G44" i="2"/>
  <c r="G45" i="2" s="1"/>
  <c r="C45" i="2"/>
  <c r="B46" i="2" a="1"/>
  <c r="B46" i="2" s="1"/>
  <c r="B47" i="2"/>
  <c r="C54" i="2"/>
  <c r="B48" i="2" s="1"/>
  <c r="C53" i="2"/>
  <c r="C55" i="2" l="1"/>
  <c r="C56" i="2"/>
</calcChain>
</file>

<file path=xl/sharedStrings.xml><?xml version="1.0" encoding="utf-8"?>
<sst xmlns="http://schemas.openxmlformats.org/spreadsheetml/2006/main" count="176" uniqueCount="90">
  <si>
    <t>Salaries</t>
  </si>
  <si>
    <t>Position</t>
  </si>
  <si>
    <t>Salary</t>
  </si>
  <si>
    <t>Year 1</t>
  </si>
  <si>
    <t>Year 2</t>
  </si>
  <si>
    <t>Year 3</t>
  </si>
  <si>
    <t>Year 4</t>
  </si>
  <si>
    <t>Year 5</t>
  </si>
  <si>
    <t>Reference</t>
  </si>
  <si>
    <t>Sofware Developer</t>
  </si>
  <si>
    <t>link</t>
  </si>
  <si>
    <t>IT support</t>
  </si>
  <si>
    <t>External affair Manager</t>
  </si>
  <si>
    <t>Accountant</t>
  </si>
  <si>
    <t>Content Creator</t>
  </si>
  <si>
    <t>Customer Support</t>
  </si>
  <si>
    <t>Salaries Expenses</t>
  </si>
  <si>
    <t>Total</t>
  </si>
  <si>
    <t>Other Expenses</t>
  </si>
  <si>
    <t>Rent</t>
  </si>
  <si>
    <t>Advertisment</t>
  </si>
  <si>
    <t>Travel Expenses</t>
  </si>
  <si>
    <t>Amortization of app creation</t>
  </si>
  <si>
    <t>Assets</t>
  </si>
  <si>
    <t>Fixed Assets</t>
  </si>
  <si>
    <t>Computer</t>
  </si>
  <si>
    <t>Monitor</t>
  </si>
  <si>
    <t>Telephones</t>
  </si>
  <si>
    <t>Printer</t>
  </si>
  <si>
    <t>Cost</t>
  </si>
  <si>
    <t>Lifespan</t>
  </si>
  <si>
    <t>Depreciationper year</t>
  </si>
  <si>
    <t>5 years</t>
  </si>
  <si>
    <t xml:space="preserve">Telephones </t>
  </si>
  <si>
    <t>CapEx</t>
  </si>
  <si>
    <t>-</t>
  </si>
  <si>
    <t>Printers</t>
  </si>
  <si>
    <t>Depreciation</t>
  </si>
  <si>
    <t>Assumptions</t>
  </si>
  <si>
    <t>Tax</t>
  </si>
  <si>
    <t>Cost of Capital</t>
  </si>
  <si>
    <t>1)Rate of increasing of rent a year is decided to be 10%</t>
  </si>
  <si>
    <t>NWC</t>
  </si>
  <si>
    <t>2)rate of inflation is 7% is considered to Expense</t>
  </si>
  <si>
    <t>Growth Rate</t>
  </si>
  <si>
    <t>3) formula for increase of customers</t>
  </si>
  <si>
    <t>Increase in Salary</t>
  </si>
  <si>
    <t>Let’s the formula for increase of customers be</t>
  </si>
  <si>
    <t>Increase in Other Expenses</t>
  </si>
  <si>
    <t>N = 1000000*ln(0.00953*t+1)</t>
  </si>
  <si>
    <t>Inflation</t>
  </si>
  <si>
    <t>where</t>
  </si>
  <si>
    <t>Increase in rent</t>
  </si>
  <si>
    <t>5) after two years we will hire 3 more it supports workers since amount of subscribers increase siginificantly</t>
  </si>
  <si>
    <t>Cost of Subscription</t>
  </si>
  <si>
    <t>Creation of app</t>
  </si>
  <si>
    <t>Link</t>
  </si>
  <si>
    <t>Cost of server per user</t>
  </si>
  <si>
    <t>Cost of maintaince of the app per user</t>
  </si>
  <si>
    <t xml:space="preserve">Income Statement </t>
  </si>
  <si>
    <t>Operations</t>
  </si>
  <si>
    <t>Sales</t>
  </si>
  <si>
    <t>COGS</t>
  </si>
  <si>
    <t>Gross profit</t>
  </si>
  <si>
    <t>Operating expenses</t>
  </si>
  <si>
    <t>Travel</t>
  </si>
  <si>
    <t>Advertisement</t>
  </si>
  <si>
    <t>Total of operating expenses</t>
  </si>
  <si>
    <t>EBIT</t>
  </si>
  <si>
    <t>Taxes</t>
  </si>
  <si>
    <t>Net Income</t>
  </si>
  <si>
    <t>NWC Change</t>
  </si>
  <si>
    <t>Unlevered Net Income</t>
  </si>
  <si>
    <t>Capex</t>
  </si>
  <si>
    <t>FCF</t>
  </si>
  <si>
    <t>Terminal Value</t>
  </si>
  <si>
    <t>FCF with Terminal Value</t>
  </si>
  <si>
    <t>DCF</t>
  </si>
  <si>
    <t>NPV</t>
  </si>
  <si>
    <t>IRR</t>
  </si>
  <si>
    <t>Payback Period</t>
  </si>
  <si>
    <t>Year</t>
  </si>
  <si>
    <t>Free Cash Flow</t>
  </si>
  <si>
    <t>Subscription</t>
  </si>
  <si>
    <t>Years</t>
  </si>
  <si>
    <t>Number of subscribers</t>
  </si>
  <si>
    <t>Revenue</t>
  </si>
  <si>
    <t>Cost of good sold</t>
  </si>
  <si>
    <t>Servers</t>
  </si>
  <si>
    <t>Maintain of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</si>
</sst>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₸]#,##0"/>
    <numFmt numFmtId="165" formatCode="_(* #,##0_);_(* \(#,##0\);_(* &quot;-&quot;??_);_(@_)"/>
    <numFmt numFmtId="166" formatCode="&quot;$&quot;#,##0.00"/>
    <numFmt numFmtId="167" formatCode="[$₸]#,##0.00"/>
  </numFmts>
  <fonts count="25">
    <font>
      <sz val="10"/>
      <color rgb="FF000000"/>
      <name val="Arial"/>
      <scheme val="minor"/>
    </font>
    <font>
      <sz val="12"/>
      <color theme="1"/>
      <name val="Times New Roman"/>
    </font>
    <font>
      <sz val="11"/>
      <color theme="1"/>
      <name val="Aptos Narrow"/>
    </font>
    <font>
      <sz val="10"/>
      <color theme="1"/>
      <name val="Times New Roman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12"/>
      <color rgb="FF000000"/>
      <name val="&quot;Times New Roman&quot;"/>
    </font>
    <font>
      <sz val="10"/>
      <color theme="1"/>
      <name val="Arial"/>
    </font>
    <font>
      <b/>
      <sz val="12"/>
      <color rgb="FFFFFFFF"/>
      <name val="&quot;Times New Roman&quot;"/>
    </font>
    <font>
      <u/>
      <sz val="12"/>
      <color rgb="FF0000FF"/>
      <name val="Times New Roman"/>
    </font>
    <font>
      <u/>
      <sz val="12"/>
      <color rgb="FF000000"/>
      <name val="&quot;Times New Roman&quot;"/>
    </font>
    <font>
      <u/>
      <sz val="12"/>
      <color rgb="FF0000FF"/>
      <name val="&quot;Times New Roman&quot;"/>
    </font>
    <font>
      <u/>
      <sz val="12"/>
      <color rgb="FF0000FF"/>
      <name val="&quot;Times New Roman&quot;"/>
    </font>
    <font>
      <sz val="12"/>
      <color theme="1"/>
      <name val="Arial"/>
      <scheme val="minor"/>
    </font>
    <font>
      <u/>
      <sz val="12"/>
      <color rgb="FF000000"/>
      <name val="&quot;Times New Roman&quot;"/>
    </font>
    <font>
      <u/>
      <sz val="12"/>
      <color rgb="FF0000FF"/>
      <name val="Times New Roman"/>
    </font>
    <font>
      <b/>
      <sz val="12"/>
      <color rgb="FF000000"/>
      <name val="&quot;Times New Roman&quot;"/>
    </font>
    <font>
      <sz val="12"/>
      <color rgb="FF000000"/>
      <name val="Times New Roman"/>
    </font>
    <font>
      <sz val="10"/>
      <color theme="1"/>
      <name val="Arial"/>
      <scheme val="minor"/>
    </font>
    <font>
      <u/>
      <sz val="12"/>
      <color theme="7"/>
      <name val="Times New Roman"/>
    </font>
    <font>
      <sz val="11"/>
      <color theme="1"/>
      <name val="Arial"/>
    </font>
    <font>
      <sz val="11"/>
      <color rgb="FF000000"/>
      <name val="&quot;Aptos Narrow&quot;"/>
    </font>
    <font>
      <u/>
      <sz val="12"/>
      <color rgb="FF000000"/>
      <name val="&quot;Times New Roman&quot;"/>
    </font>
    <font>
      <u/>
      <sz val="12"/>
      <color rgb="FF0000FF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13">
    <border>
      <left/>
      <right/>
      <top/>
      <bottom/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/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4A853"/>
      </left>
      <right style="thin">
        <color rgb="FF34A853"/>
      </right>
      <top style="thin">
        <color rgb="FF34A853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3" fillId="2" borderId="0" xfId="0" applyFont="1" applyFill="1"/>
    <xf numFmtId="4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wrapText="1"/>
    </xf>
    <xf numFmtId="0" fontId="5" fillId="2" borderId="0" xfId="0" applyFont="1" applyFill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9" fillId="3" borderId="1" xfId="0" applyFont="1" applyFill="1" applyBorder="1"/>
    <xf numFmtId="0" fontId="9" fillId="3" borderId="2" xfId="0" applyFont="1" applyFill="1" applyBorder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/>
    <xf numFmtId="164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7" fillId="0" borderId="1" xfId="0" applyFont="1" applyBorder="1"/>
    <xf numFmtId="0" fontId="7" fillId="0" borderId="5" xfId="0" applyFont="1" applyBorder="1"/>
    <xf numFmtId="164" fontId="7" fillId="0" borderId="6" xfId="0" applyNumberFormat="1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0" fontId="7" fillId="4" borderId="5" xfId="0" applyFont="1" applyFill="1" applyBorder="1"/>
    <xf numFmtId="164" fontId="7" fillId="4" borderId="6" xfId="0" applyNumberFormat="1" applyFont="1" applyFill="1" applyBorder="1" applyAlignment="1">
      <alignment horizontal="right"/>
    </xf>
    <xf numFmtId="164" fontId="7" fillId="5" borderId="2" xfId="0" applyNumberFormat="1" applyFont="1" applyFill="1" applyBorder="1" applyAlignment="1">
      <alignment horizontal="right"/>
    </xf>
    <xf numFmtId="164" fontId="11" fillId="5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right"/>
    </xf>
    <xf numFmtId="164" fontId="12" fillId="6" borderId="2" xfId="0" applyNumberFormat="1" applyFont="1" applyFill="1" applyBorder="1" applyAlignment="1">
      <alignment horizontal="center"/>
    </xf>
    <xf numFmtId="164" fontId="13" fillId="5" borderId="2" xfId="0" applyNumberFormat="1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4" fillId="0" borderId="0" xfId="0" applyFont="1"/>
    <xf numFmtId="0" fontId="9" fillId="3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64" fontId="15" fillId="0" borderId="2" xfId="0" applyNumberFormat="1" applyFont="1" applyBorder="1" applyAlignment="1">
      <alignment horizontal="center"/>
    </xf>
    <xf numFmtId="0" fontId="7" fillId="0" borderId="0" xfId="0" applyFont="1"/>
    <xf numFmtId="0" fontId="1" fillId="5" borderId="0" xfId="0" applyFont="1" applyFill="1"/>
    <xf numFmtId="164" fontId="1" fillId="5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right"/>
    </xf>
    <xf numFmtId="164" fontId="16" fillId="5" borderId="0" xfId="0" applyNumberFormat="1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7" fillId="7" borderId="5" xfId="0" applyFont="1" applyFill="1" applyBorder="1"/>
    <xf numFmtId="164" fontId="7" fillId="7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right"/>
    </xf>
    <xf numFmtId="0" fontId="7" fillId="7" borderId="3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right"/>
    </xf>
    <xf numFmtId="164" fontId="7" fillId="0" borderId="6" xfId="0" applyNumberFormat="1" applyFont="1" applyBorder="1"/>
    <xf numFmtId="164" fontId="7" fillId="0" borderId="7" xfId="0" applyNumberFormat="1" applyFont="1" applyBorder="1"/>
    <xf numFmtId="0" fontId="7" fillId="4" borderId="0" xfId="0" applyFont="1" applyFill="1"/>
    <xf numFmtId="164" fontId="7" fillId="4" borderId="0" xfId="0" applyNumberFormat="1" applyFont="1" applyFill="1" applyAlignment="1">
      <alignment horizontal="right"/>
    </xf>
    <xf numFmtId="0" fontId="7" fillId="8" borderId="0" xfId="0" applyFont="1" applyFill="1"/>
    <xf numFmtId="0" fontId="18" fillId="0" borderId="8" xfId="0" applyFont="1" applyBorder="1" applyAlignment="1">
      <alignment horizontal="center"/>
    </xf>
    <xf numFmtId="9" fontId="18" fillId="0" borderId="8" xfId="0" applyNumberFormat="1" applyFont="1" applyBorder="1" applyAlignment="1">
      <alignment horizontal="center"/>
    </xf>
    <xf numFmtId="0" fontId="19" fillId="0" borderId="0" xfId="0" applyFont="1"/>
    <xf numFmtId="0" fontId="1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9" fillId="7" borderId="0" xfId="0" applyFont="1" applyFill="1"/>
    <xf numFmtId="0" fontId="7" fillId="0" borderId="8" xfId="0" applyFont="1" applyBorder="1"/>
    <xf numFmtId="164" fontId="7" fillId="0" borderId="8" xfId="0" applyNumberFormat="1" applyFont="1" applyBorder="1" applyAlignment="1">
      <alignment horizontal="right"/>
    </xf>
    <xf numFmtId="164" fontId="7" fillId="0" borderId="8" xfId="0" applyNumberFormat="1" applyFont="1" applyBorder="1"/>
    <xf numFmtId="0" fontId="7" fillId="7" borderId="8" xfId="0" applyFont="1" applyFill="1" applyBorder="1" applyAlignment="1">
      <alignment horizontal="left"/>
    </xf>
    <xf numFmtId="164" fontId="7" fillId="7" borderId="8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/>
    <xf numFmtId="164" fontId="2" fillId="0" borderId="10" xfId="0" applyNumberFormat="1" applyFont="1" applyBorder="1"/>
    <xf numFmtId="0" fontId="21" fillId="4" borderId="0" xfId="0" applyFont="1" applyFill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5" fillId="0" borderId="10" xfId="0" applyFont="1" applyBorder="1"/>
    <xf numFmtId="164" fontId="5" fillId="0" borderId="10" xfId="0" applyNumberFormat="1" applyFont="1" applyBorder="1"/>
    <xf numFmtId="0" fontId="5" fillId="0" borderId="12" xfId="0" applyFont="1" applyBorder="1"/>
    <xf numFmtId="166" fontId="5" fillId="0" borderId="10" xfId="0" applyNumberFormat="1" applyFont="1" applyBorder="1"/>
    <xf numFmtId="9" fontId="5" fillId="0" borderId="10" xfId="0" applyNumberFormat="1" applyFont="1" applyBorder="1"/>
    <xf numFmtId="0" fontId="22" fillId="0" borderId="10" xfId="0" applyFont="1" applyBorder="1" applyAlignment="1">
      <alignment horizontal="center"/>
    </xf>
    <xf numFmtId="164" fontId="22" fillId="0" borderId="10" xfId="0" applyNumberFormat="1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167" fontId="7" fillId="0" borderId="8" xfId="0" applyNumberFormat="1" applyFont="1" applyBorder="1" applyAlignment="1">
      <alignment horizontal="right"/>
    </xf>
    <xf numFmtId="0" fontId="5" fillId="7" borderId="0" xfId="0" applyFont="1" applyFill="1"/>
    <xf numFmtId="167" fontId="5" fillId="7" borderId="0" xfId="0" applyNumberFormat="1" applyFont="1" applyFill="1"/>
    <xf numFmtId="164" fontId="7" fillId="2" borderId="0" xfId="0" applyNumberFormat="1" applyFont="1" applyFill="1" applyAlignment="1">
      <alignment horizontal="center"/>
    </xf>
    <xf numFmtId="0" fontId="7" fillId="2" borderId="10" xfId="0" applyFont="1" applyFill="1" applyBorder="1"/>
    <xf numFmtId="164" fontId="7" fillId="2" borderId="10" xfId="0" applyNumberFormat="1" applyFont="1" applyFill="1" applyBorder="1" applyAlignment="1">
      <alignment horizontal="right"/>
    </xf>
    <xf numFmtId="164" fontId="23" fillId="2" borderId="10" xfId="0" applyNumberFormat="1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left"/>
    </xf>
    <xf numFmtId="164" fontId="1" fillId="2" borderId="10" xfId="0" applyNumberFormat="1" applyFont="1" applyFill="1" applyBorder="1" applyAlignment="1">
      <alignment horizontal="right"/>
    </xf>
    <xf numFmtId="164" fontId="24" fillId="2" borderId="10" xfId="0" applyNumberFormat="1" applyFont="1" applyFill="1" applyBorder="1" applyAlignment="1">
      <alignment horizontal="center"/>
    </xf>
    <xf numFmtId="0" fontId="17" fillId="8" borderId="0" xfId="0" applyFont="1" applyFill="1"/>
    <xf numFmtId="0" fontId="0" fillId="0" borderId="0" xfId="0"/>
    <xf numFmtId="0" fontId="7" fillId="8" borderId="0" xfId="0" applyFont="1" applyFill="1"/>
  </cellXfs>
  <cellStyles count="1">
    <cellStyle name="Normal" xfId="0" builtinId="0"/>
  </cellStyles>
  <dxfs count="17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</dxfs>
  <tableStyles count="7">
    <tableStyle name="Operating Expenses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Operating Expenses-style 2" pivot="0" count="2" xr9:uid="{00000000-0011-0000-FFFF-FFFF01000000}">
      <tableStyleElement type="firstRowStripe" dxfId="13"/>
      <tableStyleElement type="secondRowStripe" dxfId="12"/>
    </tableStyle>
    <tableStyle name="Operating Expenses-style 3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Operating Expenses-style 4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Operating Expenses-style 5" pivot="0" count="2" xr9:uid="{00000000-0011-0000-FFFF-FFFF04000000}">
      <tableStyleElement type="firstRowStripe" dxfId="5"/>
      <tableStyleElement type="secondRowStripe" dxfId="4"/>
    </tableStyle>
    <tableStyle name="Income Statement and FCF-style" pivot="0" count="2" xr9:uid="{00000000-0011-0000-FFFF-FFFF05000000}">
      <tableStyleElement type="firstRowStripe" dxfId="3"/>
      <tableStyleElement type="secondRowStripe" dxfId="2"/>
    </tableStyle>
    <tableStyle name="Gross Income and cost of produc-style" pivot="0" count="2" xr9:uid="{00000000-0011-0000-FFFF-FFFF06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Operating Expens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1" headerRowCount="0">
  <tableColumns count="1">
    <tableColumn id="1" xr3:uid="{00000000-0010-0000-0100-000001000000}" name="Column1"/>
  </tableColumns>
  <tableStyleInfo name="Operating Expens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2:D27">
  <tableColumns count="4">
    <tableColumn id="1" xr3:uid="{00000000-0010-0000-0200-000001000000}" name="Other Expenses"/>
    <tableColumn id="2" xr3:uid="{00000000-0010-0000-0200-000002000000}" name="Year 1"/>
    <tableColumn id="3" xr3:uid="{00000000-0010-0000-0200-000003000000}" name="Year 2"/>
    <tableColumn id="4" xr3:uid="{00000000-0010-0000-0200-000004000000}" name="Year 3"/>
  </tableColumns>
  <tableStyleInfo name="Operating Expens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6:D40">
  <tableColumns count="4">
    <tableColumn id="1" xr3:uid="{00000000-0010-0000-0300-000001000000}" name="Fixed Assets"/>
    <tableColumn id="2" xr3:uid="{00000000-0010-0000-0300-000002000000}" name="Cost"/>
    <tableColumn id="3" xr3:uid="{00000000-0010-0000-0300-000003000000}" name="Lifespan"/>
    <tableColumn id="4" xr3:uid="{00000000-0010-0000-0300-000004000000}" name="Depreciationper year"/>
  </tableColumns>
  <tableStyleInfo name="Operating Expens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E37:E40" headerRowCount="0">
  <tableColumns count="1">
    <tableColumn id="1" xr3:uid="{00000000-0010-0000-0400-000001000000}" name="Column1"/>
  </tableColumns>
  <tableStyleInfo name="Operating Expense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6:D26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Income Statement and FCF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1:E13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Gross Income and cost of produ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sinessofapps.com/marketplace/app-marketing/research/app-marketing-cost/" TargetMode="External"/><Relationship Id="rId13" Type="http://schemas.openxmlformats.org/officeDocument/2006/relationships/hyperlink" Target="https://www.technodom.kz/search?recommended_by=instant_search&amp;source=search&amp;recommended_code=%D0%BF%D1%80%D0%B8%D0%BD%D1%82%D0%B5%D1%80%D1%8B&amp;r46_search_query=%D0%BF%D1%80%D0%B8%D0%BD%D1%82%D0%B5%D1%80%D1%8B&amp;r46_input_query=%D0%BF%D1%80%D0%B8%D0%BD%D1%82%D0%B5%D1%80%D1%8B" TargetMode="External"/><Relationship Id="rId18" Type="http://schemas.openxmlformats.org/officeDocument/2006/relationships/table" Target="../tables/table5.xml"/><Relationship Id="rId3" Type="http://schemas.openxmlformats.org/officeDocument/2006/relationships/hyperlink" Target="https://hh.kz/vacancies/it_specialist" TargetMode="External"/><Relationship Id="rId7" Type="http://schemas.openxmlformats.org/officeDocument/2006/relationships/hyperlink" Target="https://krisha.kz/arenda/kommercheskaya-nedvizhimost/astana/typi-ofisy/" TargetMode="External"/><Relationship Id="rId12" Type="http://schemas.openxmlformats.org/officeDocument/2006/relationships/hyperlink" Target="https://www.technodom.kz/search?recommended_by=instant_search&amp;source=search&amp;recommended_code=%D1%82%D0%B5%D0%BB%D0%B5%D1%84%D0%BE%D0%BD%D1%8B&amp;r46_search_query=%D1%82%D0%B5%D0%BB%D0%B5%D1%84%D0%BE%D0%BD%D1%8B&amp;r46_input_query=%D1%82%D0%B5%D0%BB%D0%B5%D1%84%D0%BE%D0%BD%D1%8B" TargetMode="External"/><Relationship Id="rId17" Type="http://schemas.openxmlformats.org/officeDocument/2006/relationships/table" Target="../tables/table4.xml"/><Relationship Id="rId2" Type="http://schemas.openxmlformats.org/officeDocument/2006/relationships/hyperlink" Target="https://hh.kz/vacancies/it_specialist" TargetMode="External"/><Relationship Id="rId16" Type="http://schemas.openxmlformats.org/officeDocument/2006/relationships/table" Target="../tables/table3.xml"/><Relationship Id="rId1" Type="http://schemas.openxmlformats.org/officeDocument/2006/relationships/hyperlink" Target="https://www.glassdoor.com/Salaries/kazakhstan-software-developer-salary-SRCH_IL.0,10_IN138_KO11,29.htm" TargetMode="External"/><Relationship Id="rId6" Type="http://schemas.openxmlformats.org/officeDocument/2006/relationships/hyperlink" Target="https://astana.hh.kz/vacancy/120063511?query=customer+support&amp;hhtmFrom=vacancy_search_list" TargetMode="External"/><Relationship Id="rId11" Type="http://schemas.openxmlformats.org/officeDocument/2006/relationships/hyperlink" Target="https://www.technodom.kz/search?recommended_by=instant_search&amp;source=search&amp;recommended_code=%D0%BF%D1%80%D0%B8%D0%BD%D1%82%D0%B5%D1%80&amp;r46_search_query=%D0%BF%D1%80%D0%B8%D0%BD%D1%82%D0%B5%D1%80&amp;r46_input_query=%D0%BF%D1%80%D0%B8%D0%BD%D1%82%D0%B5%D1%80" TargetMode="External"/><Relationship Id="rId5" Type="http://schemas.openxmlformats.org/officeDocument/2006/relationships/hyperlink" Target="https://hh.kz/vacancies/it_specialist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https://www.technodom.kz/catalog/noutbuki-i-komp-jutery/noutbuki-i-aksessuary/noutbuki?recommended_by=instant_search&amp;recommended_code=%D0%BD%D0%BE%D1%83%D1%82%D0%B1%D1%83%D0%BA" TargetMode="External"/><Relationship Id="rId4" Type="http://schemas.openxmlformats.org/officeDocument/2006/relationships/hyperlink" Target="https://astana.hh.kz/vacancies/bukhgalter/bez_opyta_raboty" TargetMode="External"/><Relationship Id="rId9" Type="http://schemas.openxmlformats.org/officeDocument/2006/relationships/hyperlink" Target="https://obyavleniya.kaspi.kz/a/dolgosrochnaya-arenda-avto-astana-115767632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www.blaze.tech/post/how-much-does-it-cost-to-build-an-app-2024-complete-gui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hyperlink" Target="https://www.purrweb.com/ru/blog/ckolko-stoit-podderzhka-prilozheniya/" TargetMode="External"/><Relationship Id="rId1" Type="http://schemas.openxmlformats.org/officeDocument/2006/relationships/hyperlink" Target="https://www.apltech.kz/catalog/20/servernoe-oborudovanie/serv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55"/>
  <sheetViews>
    <sheetView tabSelected="1" workbookViewId="0"/>
  </sheetViews>
  <sheetFormatPr baseColWidth="10" defaultColWidth="12.6640625" defaultRowHeight="15.75" customHeight="1"/>
  <cols>
    <col min="1" max="1" width="25.1640625" customWidth="1"/>
    <col min="2" max="2" width="17.33203125" customWidth="1"/>
    <col min="3" max="3" width="16.6640625" customWidth="1"/>
    <col min="4" max="4" width="22.1640625" customWidth="1"/>
    <col min="5" max="5" width="21.33203125" customWidth="1"/>
    <col min="6" max="6" width="18.33203125" customWidth="1"/>
  </cols>
  <sheetData>
    <row r="1" spans="1:8">
      <c r="A1" s="1"/>
      <c r="B1" s="2"/>
      <c r="C1" s="3"/>
      <c r="D1" s="2"/>
      <c r="E1" s="4"/>
      <c r="F1" s="5"/>
      <c r="G1" s="5"/>
      <c r="H1" s="5"/>
    </row>
    <row r="2" spans="1:8" ht="15.75" customHeight="1">
      <c r="A2" s="6"/>
      <c r="B2" s="7"/>
      <c r="C2" s="8"/>
      <c r="D2" s="9"/>
      <c r="E2" s="10"/>
    </row>
    <row r="3" spans="1:8" ht="15.75" customHeight="1">
      <c r="A3" s="11"/>
      <c r="B3" s="12"/>
      <c r="C3" s="13"/>
      <c r="D3" s="14"/>
    </row>
    <row r="4" spans="1:8">
      <c r="A4" s="15" t="s">
        <v>0</v>
      </c>
      <c r="B4" s="16"/>
      <c r="C4" s="13"/>
      <c r="D4" s="16"/>
    </row>
    <row r="5" spans="1:8">
      <c r="A5" s="17" t="s">
        <v>1</v>
      </c>
      <c r="B5" s="18" t="s">
        <v>2</v>
      </c>
      <c r="C5" s="18" t="s">
        <v>3</v>
      </c>
      <c r="D5" s="19" t="s">
        <v>4</v>
      </c>
      <c r="E5" s="18" t="s">
        <v>5</v>
      </c>
      <c r="F5" s="18" t="s">
        <v>6</v>
      </c>
      <c r="G5" s="20" t="s">
        <v>7</v>
      </c>
      <c r="H5" s="20" t="s">
        <v>8</v>
      </c>
    </row>
    <row r="6" spans="1:8">
      <c r="A6" s="15" t="s">
        <v>9</v>
      </c>
      <c r="B6" s="21">
        <v>500000</v>
      </c>
      <c r="C6" s="22">
        <v>1</v>
      </c>
      <c r="D6" s="22">
        <v>1</v>
      </c>
      <c r="E6" s="22">
        <v>1</v>
      </c>
      <c r="F6" s="22">
        <v>1</v>
      </c>
      <c r="G6" s="22">
        <v>1</v>
      </c>
      <c r="H6" s="23" t="s">
        <v>10</v>
      </c>
    </row>
    <row r="7" spans="1:8">
      <c r="A7" s="15" t="s">
        <v>11</v>
      </c>
      <c r="B7" s="21">
        <v>300000</v>
      </c>
      <c r="C7" s="22">
        <v>1</v>
      </c>
      <c r="D7" s="22">
        <v>1</v>
      </c>
      <c r="E7" s="22">
        <v>2</v>
      </c>
      <c r="F7" s="22">
        <v>3</v>
      </c>
      <c r="G7" s="22">
        <v>4</v>
      </c>
      <c r="H7" s="23" t="s">
        <v>10</v>
      </c>
    </row>
    <row r="8" spans="1:8">
      <c r="A8" s="24" t="s">
        <v>12</v>
      </c>
      <c r="B8" s="21">
        <v>300000</v>
      </c>
      <c r="C8" s="22">
        <v>1</v>
      </c>
      <c r="D8" s="22">
        <v>1</v>
      </c>
      <c r="E8" s="22">
        <v>1</v>
      </c>
      <c r="F8" s="22">
        <v>1</v>
      </c>
      <c r="G8" s="22">
        <v>1</v>
      </c>
      <c r="H8" s="23" t="s">
        <v>10</v>
      </c>
    </row>
    <row r="9" spans="1:8">
      <c r="A9" s="24" t="s">
        <v>13</v>
      </c>
      <c r="B9" s="21">
        <v>200000</v>
      </c>
      <c r="C9" s="22">
        <v>1</v>
      </c>
      <c r="D9" s="22">
        <v>1</v>
      </c>
      <c r="E9" s="22">
        <v>1</v>
      </c>
      <c r="F9" s="22">
        <v>1</v>
      </c>
      <c r="G9" s="22">
        <v>1</v>
      </c>
      <c r="H9" s="23" t="s">
        <v>10</v>
      </c>
    </row>
    <row r="10" spans="1:8">
      <c r="A10" s="25" t="s">
        <v>14</v>
      </c>
      <c r="B10" s="26">
        <v>200000</v>
      </c>
      <c r="C10" s="27">
        <v>1</v>
      </c>
      <c r="D10" s="27">
        <v>1</v>
      </c>
      <c r="E10" s="27">
        <v>1</v>
      </c>
      <c r="F10" s="27">
        <v>1</v>
      </c>
      <c r="G10" s="27">
        <v>1</v>
      </c>
      <c r="H10" s="23" t="s">
        <v>10</v>
      </c>
    </row>
    <row r="11" spans="1:8">
      <c r="A11" s="25" t="s">
        <v>15</v>
      </c>
      <c r="B11" s="26">
        <v>200000</v>
      </c>
      <c r="C11" s="25">
        <v>1</v>
      </c>
      <c r="D11" s="25">
        <v>1</v>
      </c>
      <c r="E11" s="25">
        <v>1</v>
      </c>
      <c r="F11" s="25">
        <v>2</v>
      </c>
      <c r="G11" s="25">
        <v>2</v>
      </c>
      <c r="H11" s="23" t="s">
        <v>10</v>
      </c>
    </row>
    <row r="12" spans="1:8" ht="15.75" customHeight="1">
      <c r="A12" s="16"/>
      <c r="B12" s="16"/>
      <c r="C12" s="16"/>
      <c r="D12" s="16"/>
    </row>
    <row r="13" spans="1:8">
      <c r="A13" s="17" t="s">
        <v>16</v>
      </c>
      <c r="B13" s="18">
        <v>1</v>
      </c>
      <c r="C13" s="18">
        <v>2</v>
      </c>
      <c r="D13" s="18">
        <v>3</v>
      </c>
      <c r="E13" s="18">
        <v>4</v>
      </c>
      <c r="F13" s="20">
        <v>5</v>
      </c>
    </row>
    <row r="14" spans="1:8">
      <c r="A14" s="15" t="s">
        <v>9</v>
      </c>
      <c r="B14" s="21">
        <f>(B6*12)*(1+'Income Statement and FCF'!$C7)^B13</f>
        <v>6420000</v>
      </c>
      <c r="C14" s="21">
        <f>(B6*12)*(1+'Income Statement and FCF'!$C7)^C13</f>
        <v>6869400</v>
      </c>
      <c r="D14" s="21">
        <f>(B6*12)*(1+'Income Statement and FCF'!$C7)^D13</f>
        <v>7350258.0000000009</v>
      </c>
      <c r="E14" s="21">
        <f>(B6*12)*(1+'Income Statement and FCF'!$C7)^E13</f>
        <v>7864776.0600000005</v>
      </c>
      <c r="F14" s="28">
        <f>(B6*12)*(1+'Income Statement and FCF'!$C7)^F13</f>
        <v>8415310.3842000011</v>
      </c>
    </row>
    <row r="15" spans="1:8">
      <c r="A15" s="15" t="s">
        <v>11</v>
      </c>
      <c r="B15" s="21">
        <f>($B$7*12)*(1+'Income Statement and FCF'!$C7)^B13</f>
        <v>3852000</v>
      </c>
      <c r="C15" s="21">
        <f>($B$7*12)*(1+'Income Statement and FCF'!$C7)^C13</f>
        <v>4121640</v>
      </c>
      <c r="D15" s="21">
        <f>($B$7*12*2)*(1+'Income Statement and FCF'!$C7)^D13</f>
        <v>8820309.6000000015</v>
      </c>
      <c r="E15" s="21">
        <f>($B$7*12*3)*(1+'Income Statement and FCF'!$C7)^E13</f>
        <v>14156596.908</v>
      </c>
      <c r="F15" s="21">
        <f>($B$7*12 * 4)*(1+'Income Statement and FCF'!$C7)^F13</f>
        <v>20196744.922080003</v>
      </c>
    </row>
    <row r="16" spans="1:8">
      <c r="A16" s="24" t="s">
        <v>12</v>
      </c>
      <c r="B16" s="21">
        <f>($B$8*12)*(1+'Income Statement and FCF'!$C7)^B13</f>
        <v>3852000</v>
      </c>
      <c r="C16" s="21">
        <f>($B$8*12)*(1+'Income Statement and FCF'!$C7)^C13</f>
        <v>4121640</v>
      </c>
      <c r="D16" s="21">
        <f>($B$8*12)*(1+'Income Statement and FCF'!$C7)^D13</f>
        <v>4410154.8000000007</v>
      </c>
      <c r="E16" s="21">
        <f>($B$8*12)*(1+'Income Statement and FCF'!$C7)^E13</f>
        <v>4718865.6359999999</v>
      </c>
      <c r="F16" s="21">
        <f>($B$8*12)*(1+'Income Statement and FCF'!$C7)^F13</f>
        <v>5049186.2305200007</v>
      </c>
    </row>
    <row r="17" spans="1:7">
      <c r="A17" s="24" t="s">
        <v>13</v>
      </c>
      <c r="B17" s="21">
        <f>($B$9*12)*(1+'Income Statement and FCF'!$C7) ^ B13</f>
        <v>2568000</v>
      </c>
      <c r="C17" s="21">
        <f>($B$9*12)*(1+'Income Statement and FCF'!$C7) ^ C13</f>
        <v>2747760</v>
      </c>
      <c r="D17" s="21">
        <f>($B$9*12)*(1+'Income Statement and FCF'!$C7) ^ D13</f>
        <v>2940103.2</v>
      </c>
      <c r="E17" s="21">
        <f>($B$9*12)*(1+'Income Statement and FCF'!$C7) ^ E13</f>
        <v>3145910.4240000001</v>
      </c>
      <c r="F17" s="21">
        <f>($B$9*12)*(1+'Income Statement and FCF'!$C7) ^ F13</f>
        <v>3366124.1536800005</v>
      </c>
    </row>
    <row r="18" spans="1:7">
      <c r="A18" s="25" t="s">
        <v>14</v>
      </c>
      <c r="B18" s="21">
        <f>($B$10*12)*(1+'Income Statement and FCF'!$C7)^B13</f>
        <v>2568000</v>
      </c>
      <c r="C18" s="21">
        <f>($B$10*12)*(1+'Income Statement and FCF'!$C7)^C13</f>
        <v>2747760</v>
      </c>
      <c r="D18" s="21">
        <f>($B$10*12)*(1+'Income Statement and FCF'!$C7)^D13</f>
        <v>2940103.2</v>
      </c>
      <c r="E18" s="21">
        <f>($B$10*12)*(1+'Income Statement and FCF'!$C7)^E13</f>
        <v>3145910.4240000001</v>
      </c>
      <c r="F18" s="21">
        <f>($B$10*12)*(1+'Income Statement and FCF'!$C7)^F13</f>
        <v>3366124.1536800005</v>
      </c>
    </row>
    <row r="19" spans="1:7">
      <c r="A19" s="25" t="s">
        <v>15</v>
      </c>
      <c r="B19" s="21">
        <f>($B$11*12)*(1+'Income Statement and FCF'!$C7)^B13</f>
        <v>2568000</v>
      </c>
      <c r="C19" s="21">
        <f>($B$11*12)*(1+'Income Statement and FCF'!$C7)^C13</f>
        <v>2747760</v>
      </c>
      <c r="D19" s="21">
        <f>($B$11*12)*(1+'Income Statement and FCF'!$C7)^D13</f>
        <v>2940103.2</v>
      </c>
      <c r="E19" s="21">
        <f>($B$11*12)*(1+'Income Statement and FCF'!$C7)^E13</f>
        <v>3145910.4240000001</v>
      </c>
      <c r="F19" s="21">
        <f>($B$11*12)*(1+'Income Statement and FCF'!$C7)^F13</f>
        <v>3366124.1536800005</v>
      </c>
    </row>
    <row r="20" spans="1:7">
      <c r="A20" s="29" t="s">
        <v>17</v>
      </c>
      <c r="B20" s="30">
        <f t="shared" ref="B20:F20" si="0">SUM(B15:B19)</f>
        <v>15408000</v>
      </c>
      <c r="C20" s="30">
        <f t="shared" si="0"/>
        <v>16486560</v>
      </c>
      <c r="D20" s="30">
        <f t="shared" si="0"/>
        <v>22050774</v>
      </c>
      <c r="E20" s="30">
        <f t="shared" si="0"/>
        <v>28313193.815999996</v>
      </c>
      <c r="F20" s="30">
        <f t="shared" si="0"/>
        <v>35344303.61364001</v>
      </c>
    </row>
    <row r="22" spans="1:7">
      <c r="A22" s="17" t="s">
        <v>18</v>
      </c>
      <c r="B22" s="18" t="s">
        <v>3</v>
      </c>
      <c r="C22" s="18" t="s">
        <v>4</v>
      </c>
      <c r="D22" s="18" t="s">
        <v>5</v>
      </c>
      <c r="E22" s="18" t="s">
        <v>6</v>
      </c>
      <c r="F22" s="20" t="s">
        <v>7</v>
      </c>
      <c r="G22" s="20" t="s">
        <v>8</v>
      </c>
    </row>
    <row r="23" spans="1:7">
      <c r="A23" s="15" t="s">
        <v>19</v>
      </c>
      <c r="B23" s="21">
        <f>7200000*(1+'Income Statement and FCF'!C9)^0</f>
        <v>7200000</v>
      </c>
      <c r="C23" s="21">
        <f>B23*(1+'Income Statement and FCF'!C9)</f>
        <v>7905600.0000000009</v>
      </c>
      <c r="D23" s="21">
        <f>C23*(1+'Income Statement and FCF'!C9)</f>
        <v>8680348.8000000026</v>
      </c>
      <c r="E23" s="31">
        <f>D23*(1+'Income Statement and FCF'!C9)</f>
        <v>9531022.9824000038</v>
      </c>
      <c r="F23" s="31">
        <f>E23*(1+'Income Statement and FCF'!C9)</f>
        <v>10465063.234675204</v>
      </c>
      <c r="G23" s="32" t="s">
        <v>10</v>
      </c>
    </row>
    <row r="24" spans="1:7">
      <c r="A24" s="15" t="s">
        <v>20</v>
      </c>
      <c r="B24" s="21">
        <v>5000000</v>
      </c>
      <c r="C24" s="21">
        <f>B24 * (1+'Income Statement and FCF'!C7)</f>
        <v>5350000</v>
      </c>
      <c r="D24" s="21">
        <f>C24 * (1+'Income Statement and FCF'!C7)</f>
        <v>5724500</v>
      </c>
      <c r="E24" s="33">
        <f>D24 * (1+'Income Statement and FCF'!C7)</f>
        <v>6125215</v>
      </c>
      <c r="F24" s="33">
        <f>E24 * (1+'Income Statement and FCF'!C7)</f>
        <v>6553980.0500000007</v>
      </c>
      <c r="G24" s="34" t="s">
        <v>10</v>
      </c>
    </row>
    <row r="25" spans="1:7">
      <c r="A25" s="25" t="s">
        <v>21</v>
      </c>
      <c r="B25" s="21">
        <v>16560000</v>
      </c>
      <c r="C25" s="21">
        <f>B25*(1+'Income Statement and FCF'!C7)</f>
        <v>17719200</v>
      </c>
      <c r="D25" s="21">
        <f>C25*(1+'Income Statement and FCF'!C7)</f>
        <v>18959544</v>
      </c>
      <c r="E25" s="31">
        <f>D25*(1+'Income Statement and FCF'!C5)</f>
        <v>19528330.32</v>
      </c>
      <c r="F25" s="31">
        <f>E25*(1+'Income Statement and FCF'!C5)</f>
        <v>20114180.229600001</v>
      </c>
      <c r="G25" s="35" t="s">
        <v>10</v>
      </c>
    </row>
    <row r="26" spans="1:7">
      <c r="A26" s="29" t="s">
        <v>22</v>
      </c>
      <c r="B26" s="36">
        <f>'Income Statement and FCF'!C11/5</f>
        <v>24000000</v>
      </c>
      <c r="C26" s="37">
        <f>'Income Statement and FCF'!C11/5</f>
        <v>24000000</v>
      </c>
      <c r="D26" s="37">
        <f>'Income Statement and FCF'!C11/5</f>
        <v>24000000</v>
      </c>
      <c r="E26" s="37">
        <f>'Income Statement and FCF'!C11/5</f>
        <v>24000000</v>
      </c>
      <c r="F26" s="37">
        <f>'Income Statement and FCF'!C11/5</f>
        <v>24000000</v>
      </c>
      <c r="G26" s="36"/>
    </row>
    <row r="27" spans="1:7">
      <c r="A27" s="29" t="s">
        <v>17</v>
      </c>
      <c r="B27" s="30">
        <f t="shared" ref="B27:F27" si="1">SUM(B23:B26)</f>
        <v>52760000</v>
      </c>
      <c r="C27" s="30">
        <f t="shared" si="1"/>
        <v>54974800</v>
      </c>
      <c r="D27" s="30">
        <f t="shared" si="1"/>
        <v>57364392.800000004</v>
      </c>
      <c r="E27" s="30">
        <f t="shared" si="1"/>
        <v>59184568.302400008</v>
      </c>
      <c r="F27" s="30">
        <f t="shared" si="1"/>
        <v>61133223.514275208</v>
      </c>
      <c r="G27" s="30"/>
    </row>
    <row r="29" spans="1:7">
      <c r="A29" s="38" t="s">
        <v>23</v>
      </c>
    </row>
    <row r="30" spans="1:7">
      <c r="A30" s="17" t="s">
        <v>24</v>
      </c>
      <c r="B30" s="19" t="s">
        <v>3</v>
      </c>
      <c r="C30" s="19" t="s">
        <v>4</v>
      </c>
      <c r="D30" s="19" t="s">
        <v>5</v>
      </c>
      <c r="E30" s="19" t="s">
        <v>6</v>
      </c>
      <c r="F30" s="39" t="s">
        <v>7</v>
      </c>
    </row>
    <row r="31" spans="1:7">
      <c r="A31" s="24" t="s">
        <v>25</v>
      </c>
      <c r="B31" s="22">
        <v>0</v>
      </c>
      <c r="C31" s="22">
        <v>0</v>
      </c>
      <c r="D31" s="22">
        <v>4</v>
      </c>
      <c r="E31" s="22">
        <v>2</v>
      </c>
      <c r="F31" s="40">
        <v>2</v>
      </c>
    </row>
    <row r="32" spans="1:7">
      <c r="A32" s="24" t="s">
        <v>26</v>
      </c>
      <c r="B32" s="22">
        <v>0</v>
      </c>
      <c r="C32" s="22">
        <v>0</v>
      </c>
      <c r="D32" s="22">
        <v>4</v>
      </c>
      <c r="E32" s="22">
        <v>2</v>
      </c>
      <c r="F32" s="40">
        <v>2</v>
      </c>
    </row>
    <row r="33" spans="1:6">
      <c r="A33" s="25" t="s">
        <v>27</v>
      </c>
      <c r="B33" s="27">
        <v>0</v>
      </c>
      <c r="C33" s="27">
        <v>0</v>
      </c>
      <c r="D33" s="27">
        <v>2</v>
      </c>
      <c r="E33" s="27">
        <v>2</v>
      </c>
      <c r="F33" s="41">
        <v>2</v>
      </c>
    </row>
    <row r="34" spans="1:6">
      <c r="A34" s="25" t="s">
        <v>28</v>
      </c>
      <c r="B34" s="27">
        <v>1</v>
      </c>
      <c r="C34" s="25">
        <v>0</v>
      </c>
      <c r="D34" s="27">
        <v>1</v>
      </c>
      <c r="E34" s="25">
        <v>0</v>
      </c>
      <c r="F34" s="27">
        <v>0</v>
      </c>
    </row>
    <row r="36" spans="1:6">
      <c r="A36" s="17" t="s">
        <v>24</v>
      </c>
      <c r="B36" s="18" t="s">
        <v>29</v>
      </c>
      <c r="C36" s="17" t="s">
        <v>30</v>
      </c>
      <c r="D36" s="18" t="s">
        <v>31</v>
      </c>
      <c r="E36" s="18" t="s">
        <v>8</v>
      </c>
    </row>
    <row r="37" spans="1:6">
      <c r="A37" s="15" t="s">
        <v>25</v>
      </c>
      <c r="B37" s="21">
        <v>700000</v>
      </c>
      <c r="C37" s="42" t="s">
        <v>32</v>
      </c>
      <c r="D37" s="21">
        <f t="shared" ref="D37:D40" si="2">$B37/5</f>
        <v>140000</v>
      </c>
      <c r="E37" s="43" t="s">
        <v>10</v>
      </c>
      <c r="F37" s="44"/>
    </row>
    <row r="38" spans="1:6">
      <c r="A38" s="15" t="s">
        <v>26</v>
      </c>
      <c r="B38" s="21">
        <v>60000</v>
      </c>
      <c r="C38" s="42" t="s">
        <v>32</v>
      </c>
      <c r="D38" s="21">
        <f t="shared" si="2"/>
        <v>12000</v>
      </c>
      <c r="E38" s="43" t="s">
        <v>10</v>
      </c>
      <c r="F38" s="44"/>
    </row>
    <row r="39" spans="1:6">
      <c r="A39" s="24" t="s">
        <v>33</v>
      </c>
      <c r="B39" s="21">
        <v>100000</v>
      </c>
      <c r="C39" s="42" t="s">
        <v>32</v>
      </c>
      <c r="D39" s="21">
        <f t="shared" si="2"/>
        <v>20000</v>
      </c>
      <c r="E39" s="43" t="s">
        <v>10</v>
      </c>
      <c r="F39" s="44"/>
    </row>
    <row r="40" spans="1:6">
      <c r="A40" s="45" t="s">
        <v>28</v>
      </c>
      <c r="B40" s="46">
        <v>120000</v>
      </c>
      <c r="C40" s="47" t="s">
        <v>32</v>
      </c>
      <c r="D40" s="46">
        <f t="shared" si="2"/>
        <v>24000</v>
      </c>
      <c r="E40" s="48" t="s">
        <v>10</v>
      </c>
      <c r="F40" s="44"/>
    </row>
    <row r="41" spans="1:6">
      <c r="A41" s="44"/>
      <c r="B41" s="44"/>
      <c r="C41" s="44"/>
      <c r="D41" s="44"/>
      <c r="E41" s="44"/>
      <c r="F41" s="44"/>
    </row>
    <row r="42" spans="1:6">
      <c r="A42" s="44" t="s">
        <v>34</v>
      </c>
      <c r="B42" s="44"/>
      <c r="C42" s="44"/>
      <c r="D42" s="44"/>
      <c r="E42" s="44"/>
      <c r="F42" s="44"/>
    </row>
    <row r="43" spans="1:6">
      <c r="A43" s="17" t="s">
        <v>24</v>
      </c>
      <c r="B43" s="18" t="s">
        <v>3</v>
      </c>
      <c r="C43" s="18" t="s">
        <v>4</v>
      </c>
      <c r="D43" s="18" t="s">
        <v>5</v>
      </c>
      <c r="E43" s="18" t="s">
        <v>6</v>
      </c>
      <c r="F43" s="20" t="s">
        <v>7</v>
      </c>
    </row>
    <row r="44" spans="1:6">
      <c r="A44" s="24" t="s">
        <v>25</v>
      </c>
      <c r="B44" s="49" t="s">
        <v>35</v>
      </c>
      <c r="C44" s="49" t="s">
        <v>35</v>
      </c>
      <c r="D44" s="21">
        <f t="shared" ref="D44:D45" si="3">B37*D31</f>
        <v>2800000</v>
      </c>
      <c r="E44" s="21">
        <f>B37*E31</f>
        <v>1400000</v>
      </c>
      <c r="F44" s="28">
        <f>B37*F31</f>
        <v>1400000</v>
      </c>
    </row>
    <row r="45" spans="1:6">
      <c r="A45" s="24" t="s">
        <v>26</v>
      </c>
      <c r="B45" s="49" t="s">
        <v>35</v>
      </c>
      <c r="C45" s="49" t="s">
        <v>35</v>
      </c>
      <c r="D45" s="21">
        <f t="shared" si="3"/>
        <v>240000</v>
      </c>
      <c r="E45" s="21">
        <f>E32*B38</f>
        <v>120000</v>
      </c>
      <c r="F45" s="21">
        <f t="shared" ref="F45:F46" si="4">F32*B38</f>
        <v>120000</v>
      </c>
    </row>
    <row r="46" spans="1:6" ht="16">
      <c r="A46" s="25" t="s">
        <v>27</v>
      </c>
      <c r="B46" s="49" t="s">
        <v>35</v>
      </c>
      <c r="C46" s="49" t="s">
        <v>35</v>
      </c>
      <c r="D46" s="21">
        <f>D33*B39</f>
        <v>200000</v>
      </c>
      <c r="E46" s="21">
        <f>B39*E33</f>
        <v>200000</v>
      </c>
      <c r="F46" s="28">
        <f t="shared" si="4"/>
        <v>200000</v>
      </c>
    </row>
    <row r="47" spans="1:6" ht="16">
      <c r="A47" s="50" t="s">
        <v>36</v>
      </c>
      <c r="B47" s="51">
        <f>B40*B34</f>
        <v>120000</v>
      </c>
      <c r="C47" s="52" t="s">
        <v>35</v>
      </c>
      <c r="D47" s="51">
        <f>B40*D34</f>
        <v>120000</v>
      </c>
      <c r="E47" s="53" t="s">
        <v>35</v>
      </c>
      <c r="F47" s="54" t="s">
        <v>35</v>
      </c>
    </row>
    <row r="48" spans="1:6" ht="16">
      <c r="A48" s="29" t="s">
        <v>17</v>
      </c>
      <c r="B48" s="36">
        <f>SUM(B44:B47)</f>
        <v>120000</v>
      </c>
      <c r="C48" s="55" t="s">
        <v>35</v>
      </c>
      <c r="D48" s="30">
        <f t="shared" ref="D48:F48" si="5">SUM(D44:D47)</f>
        <v>3360000</v>
      </c>
      <c r="E48" s="30">
        <f t="shared" si="5"/>
        <v>1720000</v>
      </c>
      <c r="F48" s="56">
        <f t="shared" si="5"/>
        <v>1720000</v>
      </c>
    </row>
    <row r="49" spans="1:6" ht="16">
      <c r="A49" s="44"/>
      <c r="B49" s="44"/>
      <c r="C49" s="44"/>
      <c r="D49" s="44"/>
      <c r="E49" s="44"/>
      <c r="F49" s="44"/>
    </row>
    <row r="50" spans="1:6" ht="16">
      <c r="A50" s="17" t="s">
        <v>37</v>
      </c>
      <c r="B50" s="18" t="s">
        <v>3</v>
      </c>
      <c r="C50" s="18" t="s">
        <v>4</v>
      </c>
      <c r="D50" s="18" t="s">
        <v>5</v>
      </c>
      <c r="E50" s="18" t="s">
        <v>6</v>
      </c>
      <c r="F50" s="20" t="s">
        <v>7</v>
      </c>
    </row>
    <row r="51" spans="1:6" ht="16">
      <c r="A51" s="24" t="s">
        <v>25</v>
      </c>
      <c r="B51" s="21">
        <f t="shared" ref="B51:B52" si="6">D37*(B31)</f>
        <v>0</v>
      </c>
      <c r="C51" s="21">
        <f>D37*(B31+C31)</f>
        <v>0</v>
      </c>
      <c r="D51" s="21">
        <f>D37*(B31:D31)</f>
        <v>560000</v>
      </c>
      <c r="E51" s="21">
        <f>D37*(B31+C31+D31+E31)</f>
        <v>840000</v>
      </c>
      <c r="F51" s="28">
        <f>D37*(B31+C31+D31+E31+F31)</f>
        <v>1120000</v>
      </c>
    </row>
    <row r="52" spans="1:6" ht="16">
      <c r="A52" s="24" t="s">
        <v>26</v>
      </c>
      <c r="B52" s="21">
        <f t="shared" si="6"/>
        <v>0</v>
      </c>
      <c r="C52" s="21">
        <f>D38*(C32+B32)</f>
        <v>0</v>
      </c>
      <c r="D52" s="21">
        <f>D38*(D32+C32+B32)</f>
        <v>48000</v>
      </c>
      <c r="E52" s="21">
        <f>D38*(D32+C32+B32+E32)</f>
        <v>72000</v>
      </c>
      <c r="F52" s="28">
        <f>D38*(D32+C32+B32+E32+F32)</f>
        <v>96000</v>
      </c>
    </row>
    <row r="53" spans="1:6" ht="16">
      <c r="A53" s="25" t="s">
        <v>27</v>
      </c>
      <c r="B53" s="21">
        <f>$D39*(B33)</f>
        <v>0</v>
      </c>
      <c r="C53" s="21">
        <f>$D39*(B33+C33)</f>
        <v>0</v>
      </c>
      <c r="D53" s="21">
        <f>$D39*(C33+D33+B33)</f>
        <v>40000</v>
      </c>
      <c r="E53" s="21">
        <f>$D39*(D33+E33+C33+B33)</f>
        <v>80000</v>
      </c>
      <c r="F53" s="21">
        <f>$D39*(E33+F33+D33+C33+B33)</f>
        <v>120000</v>
      </c>
    </row>
    <row r="54" spans="1:6" ht="16">
      <c r="A54" s="25" t="s">
        <v>36</v>
      </c>
      <c r="B54" s="57">
        <f>D40*(B34)</f>
        <v>24000</v>
      </c>
      <c r="C54" s="57">
        <f>D40*(B34+C34)</f>
        <v>24000</v>
      </c>
      <c r="D54" s="57">
        <f>D40*(B34+C34+D34)</f>
        <v>48000</v>
      </c>
      <c r="E54" s="57">
        <f>D40*(B34+C34+D34+E34)</f>
        <v>48000</v>
      </c>
      <c r="F54" s="58">
        <f>D40*(B34+C34+D34+E34+F34)</f>
        <v>48000</v>
      </c>
    </row>
    <row r="55" spans="1:6" ht="16">
      <c r="A55" s="59" t="s">
        <v>17</v>
      </c>
      <c r="B55" s="60">
        <f t="shared" ref="B55:F55" si="7">SUM(B51:B54)</f>
        <v>24000</v>
      </c>
      <c r="C55" s="60">
        <f t="shared" si="7"/>
        <v>24000</v>
      </c>
      <c r="D55" s="60">
        <f t="shared" si="7"/>
        <v>696000</v>
      </c>
      <c r="E55" s="60">
        <f t="shared" si="7"/>
        <v>1040000</v>
      </c>
      <c r="F55" s="60">
        <f t="shared" si="7"/>
        <v>1384000</v>
      </c>
    </row>
  </sheetData>
  <hyperlinks>
    <hyperlink ref="H6" r:id="rId1" xr:uid="{00000000-0004-0000-0000-000000000000}"/>
    <hyperlink ref="H7" r:id="rId2" xr:uid="{00000000-0004-0000-0000-000001000000}"/>
    <hyperlink ref="H8" r:id="rId3" xr:uid="{00000000-0004-0000-0000-000002000000}"/>
    <hyperlink ref="H9" r:id="rId4" xr:uid="{00000000-0004-0000-0000-000003000000}"/>
    <hyperlink ref="H10" r:id="rId5" xr:uid="{00000000-0004-0000-0000-000004000000}"/>
    <hyperlink ref="H11" r:id="rId6" xr:uid="{00000000-0004-0000-0000-000005000000}"/>
    <hyperlink ref="G23" r:id="rId7" xr:uid="{00000000-0004-0000-0000-000006000000}"/>
    <hyperlink ref="G24" r:id="rId8" xr:uid="{00000000-0004-0000-0000-000007000000}"/>
    <hyperlink ref="G25" r:id="rId9" xr:uid="{00000000-0004-0000-0000-000008000000}"/>
    <hyperlink ref="E37" r:id="rId10" xr:uid="{00000000-0004-0000-0000-000009000000}"/>
    <hyperlink ref="E38" r:id="rId11" xr:uid="{00000000-0004-0000-0000-00000A000000}"/>
    <hyperlink ref="E39" r:id="rId12" xr:uid="{00000000-0004-0000-0000-00000B000000}"/>
    <hyperlink ref="E40" r:id="rId13" xr:uid="{00000000-0004-0000-0000-00000C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5">
    <tablePart r:id="rId14"/>
    <tablePart r:id="rId15"/>
    <tablePart r:id="rId16"/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T56"/>
  <sheetViews>
    <sheetView workbookViewId="0"/>
  </sheetViews>
  <sheetFormatPr baseColWidth="10" defaultColWidth="12.6640625" defaultRowHeight="15.75" customHeight="1"/>
  <cols>
    <col min="1" max="1" width="31.1640625" customWidth="1"/>
    <col min="2" max="3" width="17.33203125" customWidth="1"/>
    <col min="4" max="4" width="17.5" customWidth="1"/>
    <col min="5" max="5" width="19.5" customWidth="1"/>
    <col min="6" max="6" width="16.6640625" customWidth="1"/>
    <col min="7" max="7" width="16.1640625" customWidth="1"/>
  </cols>
  <sheetData>
    <row r="1" spans="1:20">
      <c r="A1" s="17" t="s">
        <v>38</v>
      </c>
      <c r="I1" s="97" t="s">
        <v>38</v>
      </c>
      <c r="J1" s="98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>
      <c r="A2" s="62" t="s">
        <v>39</v>
      </c>
      <c r="B2" s="63"/>
      <c r="C2" s="63">
        <v>0.1</v>
      </c>
      <c r="I2" s="99"/>
      <c r="J2" s="98"/>
      <c r="K2" s="98"/>
      <c r="L2" s="98"/>
      <c r="M2" s="98"/>
      <c r="N2" s="98"/>
      <c r="O2" s="98"/>
      <c r="P2" s="98"/>
      <c r="Q2" s="98"/>
      <c r="R2" s="98"/>
      <c r="S2" s="98"/>
      <c r="T2" s="61"/>
    </row>
    <row r="3" spans="1:20">
      <c r="A3" s="62" t="s">
        <v>40</v>
      </c>
      <c r="B3" s="63"/>
      <c r="C3" s="63">
        <v>0.2</v>
      </c>
      <c r="I3" s="99" t="s">
        <v>41</v>
      </c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spans="1:20">
      <c r="A4" s="62" t="s">
        <v>42</v>
      </c>
      <c r="B4" s="63"/>
      <c r="C4" s="63">
        <v>0.17</v>
      </c>
      <c r="I4" s="99" t="s">
        <v>43</v>
      </c>
      <c r="J4" s="98"/>
      <c r="K4" s="98"/>
      <c r="L4" s="98"/>
      <c r="M4" s="98"/>
      <c r="N4" s="98"/>
      <c r="O4" s="61"/>
      <c r="P4" s="61"/>
      <c r="Q4" s="61"/>
      <c r="R4" s="61"/>
      <c r="S4" s="61"/>
      <c r="T4" s="61"/>
    </row>
    <row r="5" spans="1:20">
      <c r="A5" s="62" t="s">
        <v>44</v>
      </c>
      <c r="B5" s="63"/>
      <c r="C5" s="63">
        <v>0.03</v>
      </c>
      <c r="I5" s="99" t="s">
        <v>45</v>
      </c>
      <c r="J5" s="98"/>
      <c r="K5" s="98"/>
      <c r="L5" s="98"/>
      <c r="M5" s="61"/>
      <c r="N5" s="61"/>
      <c r="O5" s="61"/>
      <c r="P5" s="61"/>
      <c r="Q5" s="61"/>
      <c r="R5" s="61"/>
      <c r="S5" s="61"/>
      <c r="T5" s="61"/>
    </row>
    <row r="6" spans="1:20">
      <c r="A6" s="62" t="s">
        <v>46</v>
      </c>
      <c r="B6" s="63"/>
      <c r="C6" s="63">
        <v>0.05</v>
      </c>
      <c r="I6" s="99" t="s">
        <v>47</v>
      </c>
      <c r="J6" s="98"/>
      <c r="K6" s="98"/>
      <c r="L6" s="98"/>
      <c r="M6" s="98"/>
      <c r="N6" s="61"/>
      <c r="O6" s="61"/>
      <c r="P6" s="61"/>
      <c r="Q6" s="61"/>
      <c r="R6" s="61"/>
      <c r="S6" s="61"/>
      <c r="T6" s="61"/>
    </row>
    <row r="7" spans="1:20">
      <c r="A7" s="62" t="s">
        <v>48</v>
      </c>
      <c r="B7" s="63"/>
      <c r="C7" s="63">
        <v>7.0000000000000007E-2</v>
      </c>
      <c r="E7" s="64"/>
      <c r="I7" s="99" t="s">
        <v>49</v>
      </c>
      <c r="J7" s="98"/>
      <c r="K7" s="98"/>
      <c r="L7" s="98"/>
      <c r="M7" s="61"/>
      <c r="N7" s="61"/>
      <c r="O7" s="61"/>
      <c r="P7" s="61"/>
      <c r="Q7" s="61"/>
      <c r="R7" s="61"/>
      <c r="S7" s="61"/>
      <c r="T7" s="61"/>
    </row>
    <row r="8" spans="1:20">
      <c r="A8" s="62" t="s">
        <v>50</v>
      </c>
      <c r="B8" s="63"/>
      <c r="C8" s="63">
        <v>7.0000000000000007E-2</v>
      </c>
      <c r="I8" s="61" t="s">
        <v>51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</row>
    <row r="9" spans="1:20">
      <c r="A9" s="62" t="s">
        <v>52</v>
      </c>
      <c r="B9" s="63"/>
      <c r="C9" s="63">
        <v>9.8000000000000004E-2</v>
      </c>
      <c r="I9" s="99" t="s">
        <v>53</v>
      </c>
      <c r="J9" s="98"/>
      <c r="K9" s="98"/>
      <c r="L9" s="98"/>
      <c r="M9" s="98"/>
      <c r="N9" s="98"/>
      <c r="O9" s="98"/>
      <c r="P9" s="98"/>
      <c r="Q9" s="98"/>
      <c r="R9" s="98"/>
      <c r="S9" s="61"/>
      <c r="T9" s="61"/>
    </row>
    <row r="10" spans="1:20">
      <c r="A10" s="65" t="s">
        <v>54</v>
      </c>
      <c r="B10" s="65"/>
      <c r="C10" s="65">
        <v>5000</v>
      </c>
    </row>
    <row r="11" spans="1:20">
      <c r="A11" s="62" t="s">
        <v>55</v>
      </c>
      <c r="B11" s="62"/>
      <c r="C11" s="62">
        <v>120000000</v>
      </c>
      <c r="D11" s="66" t="s">
        <v>56</v>
      </c>
    </row>
    <row r="12" spans="1:20">
      <c r="A12" s="62" t="s">
        <v>57</v>
      </c>
      <c r="B12" s="62"/>
      <c r="C12" s="62">
        <v>300</v>
      </c>
    </row>
    <row r="13" spans="1:20">
      <c r="A13" s="62" t="s">
        <v>58</v>
      </c>
      <c r="B13" s="62"/>
      <c r="C13" s="62">
        <v>390</v>
      </c>
    </row>
    <row r="14" spans="1:20">
      <c r="A14" s="67"/>
    </row>
    <row r="15" spans="1:20">
      <c r="A15" s="17" t="s">
        <v>59</v>
      </c>
    </row>
    <row r="16" spans="1:20">
      <c r="A16" s="17" t="s">
        <v>60</v>
      </c>
      <c r="B16" s="18"/>
      <c r="C16" s="18" t="s">
        <v>3</v>
      </c>
      <c r="D16" s="18" t="s">
        <v>4</v>
      </c>
      <c r="E16" s="18" t="s">
        <v>5</v>
      </c>
      <c r="F16" s="18" t="s">
        <v>6</v>
      </c>
      <c r="G16" s="20" t="s">
        <v>7</v>
      </c>
    </row>
    <row r="17" spans="1:11">
      <c r="A17" s="68" t="s">
        <v>61</v>
      </c>
      <c r="B17" s="69"/>
      <c r="C17" s="69">
        <f>'Gross Income and cost of produc'!C6</f>
        <v>47425000</v>
      </c>
      <c r="D17" s="69">
        <f>'Gross Income and cost of produc'!D6</f>
        <v>94405000</v>
      </c>
      <c r="E17" s="69">
        <f>'Gross Income and cost of produc'!E6</f>
        <v>140945000</v>
      </c>
      <c r="F17" s="69">
        <f>'Gross Income and cost of produc'!F6</f>
        <v>187055000</v>
      </c>
      <c r="G17" s="69">
        <f>'Gross Income and cost of produc'!G6</f>
        <v>232750000</v>
      </c>
    </row>
    <row r="18" spans="1:11">
      <c r="A18" s="68" t="s">
        <v>62</v>
      </c>
      <c r="B18" s="69"/>
      <c r="C18" s="69">
        <f>-'Gross Income and cost of produc'!C13</f>
        <v>-6544651</v>
      </c>
      <c r="D18" s="69">
        <f>-'Gross Income and cost of produc'!D13</f>
        <v>-13939844.300000001</v>
      </c>
      <c r="E18" s="69">
        <f>-'Gross Income and cost of produc'!E13</f>
        <v>-20219972.700000003</v>
      </c>
      <c r="F18" s="69">
        <f>-'Gross Income and cost of produc'!F13</f>
        <v>-26834914.300000001</v>
      </c>
      <c r="G18" s="69">
        <f>-'Gross Income and cost of produc'!G13</f>
        <v>-33390320</v>
      </c>
    </row>
    <row r="19" spans="1:11">
      <c r="A19" s="68" t="s">
        <v>63</v>
      </c>
      <c r="B19" s="69"/>
      <c r="C19" s="69">
        <f t="shared" ref="C19:G19" si="0">C17+C18</f>
        <v>40880349</v>
      </c>
      <c r="D19" s="69">
        <f t="shared" si="0"/>
        <v>80465155.700000003</v>
      </c>
      <c r="E19" s="69">
        <f t="shared" si="0"/>
        <v>120725027.3</v>
      </c>
      <c r="F19" s="69">
        <f t="shared" si="0"/>
        <v>160220085.69999999</v>
      </c>
      <c r="G19" s="69">
        <f t="shared" si="0"/>
        <v>199359680</v>
      </c>
    </row>
    <row r="20" spans="1:11">
      <c r="A20" s="68" t="s">
        <v>64</v>
      </c>
      <c r="B20" s="70"/>
      <c r="C20" s="70"/>
      <c r="D20" s="70"/>
      <c r="E20" s="70"/>
      <c r="F20" s="70"/>
      <c r="G20" s="70"/>
    </row>
    <row r="21" spans="1:11">
      <c r="A21" s="68" t="s">
        <v>0</v>
      </c>
      <c r="B21" s="69"/>
      <c r="C21" s="69">
        <f>-'Operating Expenses'!B20</f>
        <v>-15408000</v>
      </c>
      <c r="D21" s="69">
        <f>-'Operating Expenses'!C20</f>
        <v>-16486560</v>
      </c>
      <c r="E21" s="69">
        <f>-'Operating Expenses'!D20</f>
        <v>-22050774</v>
      </c>
      <c r="F21" s="69">
        <f>-'Operating Expenses'!E20</f>
        <v>-28313193.815999996</v>
      </c>
      <c r="G21" s="69">
        <f>-'Operating Expenses'!F20</f>
        <v>-35344303.61364001</v>
      </c>
    </row>
    <row r="22" spans="1:11">
      <c r="A22" s="68" t="s">
        <v>37</v>
      </c>
      <c r="B22" s="69"/>
      <c r="C22" s="69">
        <f>-'Operating Expenses'!B55</f>
        <v>-24000</v>
      </c>
      <c r="D22" s="69">
        <f>-'Operating Expenses'!C55</f>
        <v>-24000</v>
      </c>
      <c r="E22" s="69">
        <f>-'Operating Expenses'!D55</f>
        <v>-696000</v>
      </c>
      <c r="F22" s="69">
        <f>-'Operating Expenses'!E55</f>
        <v>-1040000</v>
      </c>
      <c r="G22" s="69">
        <f>-'Operating Expenses'!F55</f>
        <v>-1384000</v>
      </c>
    </row>
    <row r="23" spans="1:11">
      <c r="A23" s="68" t="s">
        <v>19</v>
      </c>
      <c r="B23" s="69"/>
      <c r="C23" s="69">
        <f>-'Operating Expenses'!B23</f>
        <v>-7200000</v>
      </c>
      <c r="D23" s="69">
        <f>-'Operating Expenses'!C23</f>
        <v>-7905600.0000000009</v>
      </c>
      <c r="E23" s="69">
        <f>-'Operating Expenses'!D23</f>
        <v>-8680348.8000000026</v>
      </c>
      <c r="F23" s="69">
        <f>-'Operating Expenses'!E23</f>
        <v>-9531022.9824000038</v>
      </c>
      <c r="G23" s="69">
        <f>-'Operating Expenses'!F23</f>
        <v>-10465063.234675204</v>
      </c>
    </row>
    <row r="24" spans="1:11">
      <c r="A24" s="68" t="s">
        <v>65</v>
      </c>
      <c r="B24" s="69"/>
      <c r="C24" s="69">
        <f>-'Operating Expenses'!B25</f>
        <v>-16560000</v>
      </c>
      <c r="D24" s="69">
        <f>-'Operating Expenses'!C25</f>
        <v>-17719200</v>
      </c>
      <c r="E24" s="69">
        <f>-'Operating Expenses'!D25</f>
        <v>-18959544</v>
      </c>
      <c r="F24" s="69">
        <f>-'Operating Expenses'!E25</f>
        <v>-19528330.32</v>
      </c>
      <c r="G24" s="69">
        <f>-'Operating Expenses'!F25</f>
        <v>-20114180.229600001</v>
      </c>
    </row>
    <row r="25" spans="1:11">
      <c r="A25" s="71" t="s">
        <v>22</v>
      </c>
      <c r="B25" s="72"/>
      <c r="C25" s="72">
        <f>-'Operating Expenses'!B26</f>
        <v>-24000000</v>
      </c>
      <c r="D25" s="72">
        <f>-'Operating Expenses'!C26</f>
        <v>-24000000</v>
      </c>
      <c r="E25" s="72">
        <f>-'Operating Expenses'!D26</f>
        <v>-24000000</v>
      </c>
      <c r="F25" s="72">
        <f>-'Operating Expenses'!E26</f>
        <v>-24000000</v>
      </c>
      <c r="G25" s="72">
        <f>-'Operating Expenses'!F26</f>
        <v>-24000000</v>
      </c>
    </row>
    <row r="26" spans="1:11">
      <c r="A26" s="71" t="s">
        <v>66</v>
      </c>
      <c r="B26" s="72"/>
      <c r="C26" s="72">
        <f>-'Operating Expenses'!B24</f>
        <v>-5000000</v>
      </c>
      <c r="D26" s="72">
        <f>-'Operating Expenses'!C24</f>
        <v>-5350000</v>
      </c>
      <c r="E26" s="72">
        <f>-'Operating Expenses'!D24</f>
        <v>-5724500</v>
      </c>
      <c r="F26" s="72">
        <f>-'Operating Expenses'!E24</f>
        <v>-6125215</v>
      </c>
      <c r="G26" s="72">
        <f>-'Operating Expenses'!F24</f>
        <v>-6553980.0500000007</v>
      </c>
    </row>
    <row r="27" spans="1:11">
      <c r="A27" s="68" t="s">
        <v>67</v>
      </c>
      <c r="B27" s="69"/>
      <c r="C27" s="69">
        <f t="shared" ref="C27:G27" si="1">SUM(C21:C26)</f>
        <v>-68192000</v>
      </c>
      <c r="D27" s="69">
        <f t="shared" si="1"/>
        <v>-71485360</v>
      </c>
      <c r="E27" s="69">
        <f t="shared" si="1"/>
        <v>-80111166.800000012</v>
      </c>
      <c r="F27" s="69">
        <f t="shared" si="1"/>
        <v>-88537762.118400007</v>
      </c>
      <c r="G27" s="69">
        <f t="shared" si="1"/>
        <v>-97861527.127915218</v>
      </c>
    </row>
    <row r="28" spans="1:11">
      <c r="A28" s="68" t="s">
        <v>68</v>
      </c>
      <c r="B28" s="69"/>
      <c r="C28" s="69">
        <f t="shared" ref="C28:G28" si="2">C19+C27</f>
        <v>-27311651</v>
      </c>
      <c r="D28" s="69">
        <f t="shared" si="2"/>
        <v>8979795.700000003</v>
      </c>
      <c r="E28" s="69">
        <f t="shared" si="2"/>
        <v>40613860.499999985</v>
      </c>
      <c r="F28" s="69">
        <f t="shared" si="2"/>
        <v>71682323.581599981</v>
      </c>
      <c r="G28" s="69">
        <f t="shared" si="2"/>
        <v>101498152.87208478</v>
      </c>
    </row>
    <row r="29" spans="1:11">
      <c r="A29" s="68" t="s">
        <v>69</v>
      </c>
      <c r="B29" s="69"/>
      <c r="C29" s="69">
        <f t="shared" ref="C29:G29" si="3">-C28*$C2</f>
        <v>2731165.1</v>
      </c>
      <c r="D29" s="69">
        <f t="shared" si="3"/>
        <v>-897979.5700000003</v>
      </c>
      <c r="E29" s="69">
        <f t="shared" si="3"/>
        <v>-4061386.0499999989</v>
      </c>
      <c r="F29" s="69">
        <f t="shared" si="3"/>
        <v>-7168232.3581599984</v>
      </c>
      <c r="G29" s="69">
        <f t="shared" si="3"/>
        <v>-10149815.287208479</v>
      </c>
    </row>
    <row r="30" spans="1:11">
      <c r="A30" s="68" t="s">
        <v>70</v>
      </c>
      <c r="B30" s="69"/>
      <c r="C30" s="69">
        <f t="shared" ref="C30:G30" si="4">SUM(C28:C29)</f>
        <v>-24580485.899999999</v>
      </c>
      <c r="D30" s="69">
        <f t="shared" si="4"/>
        <v>8081816.1300000027</v>
      </c>
      <c r="E30" s="69">
        <f t="shared" si="4"/>
        <v>36552474.449999988</v>
      </c>
      <c r="F30" s="69">
        <f t="shared" si="4"/>
        <v>64514091.223439984</v>
      </c>
      <c r="G30" s="69">
        <f t="shared" si="4"/>
        <v>91348337.584876299</v>
      </c>
    </row>
    <row r="32" spans="1:11">
      <c r="E32" s="5"/>
      <c r="F32" s="73"/>
      <c r="G32" s="73"/>
      <c r="H32" s="73"/>
      <c r="I32" s="73"/>
      <c r="J32" s="73"/>
      <c r="K32" s="73"/>
    </row>
    <row r="34" spans="1:8">
      <c r="A34" s="74" t="s">
        <v>42</v>
      </c>
      <c r="B34" s="75"/>
      <c r="C34" s="76">
        <f t="shared" ref="C34:G34" si="5">C17*$C$4</f>
        <v>8062250.0000000009</v>
      </c>
      <c r="D34" s="76">
        <f t="shared" si="5"/>
        <v>16048850.000000002</v>
      </c>
      <c r="E34" s="76">
        <f t="shared" si="5"/>
        <v>23960650</v>
      </c>
      <c r="F34" s="76">
        <f t="shared" si="5"/>
        <v>31799350.000000004</v>
      </c>
      <c r="G34" s="76">
        <f t="shared" si="5"/>
        <v>39567500</v>
      </c>
      <c r="H34" s="73"/>
    </row>
    <row r="35" spans="1:8">
      <c r="A35" s="74" t="s">
        <v>71</v>
      </c>
      <c r="B35" s="75"/>
      <c r="C35" s="76">
        <f>-C34</f>
        <v>-8062250.0000000009</v>
      </c>
      <c r="D35" s="76">
        <f t="shared" ref="D35:G35" si="6">C34-D34</f>
        <v>-7986600.0000000009</v>
      </c>
      <c r="E35" s="76">
        <f t="shared" si="6"/>
        <v>-7911799.9999999981</v>
      </c>
      <c r="F35" s="76">
        <f t="shared" si="6"/>
        <v>-7838700.0000000037</v>
      </c>
      <c r="G35" s="76">
        <f t="shared" si="6"/>
        <v>-7768149.9999999963</v>
      </c>
      <c r="H35" s="73"/>
    </row>
    <row r="37" spans="1:8">
      <c r="A37" s="17" t="s">
        <v>60</v>
      </c>
      <c r="B37" s="77">
        <v>0</v>
      </c>
      <c r="C37" s="78">
        <v>1</v>
      </c>
      <c r="D37" s="78">
        <v>2</v>
      </c>
      <c r="E37" s="78">
        <v>3</v>
      </c>
      <c r="F37" s="78">
        <v>4</v>
      </c>
      <c r="G37" s="78">
        <v>5</v>
      </c>
    </row>
    <row r="38" spans="1:8" ht="15.75" customHeight="1">
      <c r="A38" s="79" t="s">
        <v>72</v>
      </c>
      <c r="B38" s="79"/>
      <c r="C38" s="80">
        <f t="shared" ref="C38:G38" si="7">C30</f>
        <v>-24580485.899999999</v>
      </c>
      <c r="D38" s="80">
        <f t="shared" si="7"/>
        <v>8081816.1300000027</v>
      </c>
      <c r="E38" s="80">
        <f t="shared" si="7"/>
        <v>36552474.449999988</v>
      </c>
      <c r="F38" s="80">
        <f t="shared" si="7"/>
        <v>64514091.223439984</v>
      </c>
      <c r="G38" s="80">
        <f t="shared" si="7"/>
        <v>91348337.584876299</v>
      </c>
    </row>
    <row r="39" spans="1:8" ht="15.75" customHeight="1">
      <c r="A39" s="79" t="s">
        <v>37</v>
      </c>
      <c r="B39" s="79"/>
      <c r="C39" s="80">
        <f t="shared" ref="C39:G39" si="8">-C22-C25</f>
        <v>24024000</v>
      </c>
      <c r="D39" s="80">
        <f t="shared" si="8"/>
        <v>24024000</v>
      </c>
      <c r="E39" s="80">
        <f t="shared" si="8"/>
        <v>24696000</v>
      </c>
      <c r="F39" s="80">
        <f t="shared" si="8"/>
        <v>25040000</v>
      </c>
      <c r="G39" s="80">
        <f t="shared" si="8"/>
        <v>25384000</v>
      </c>
    </row>
    <row r="40" spans="1:8" ht="15.75" customHeight="1">
      <c r="A40" s="79" t="s">
        <v>73</v>
      </c>
      <c r="B40" s="79">
        <f>-C11</f>
        <v>-120000000</v>
      </c>
      <c r="C40" s="80">
        <f>-'Operating Expenses'!B48</f>
        <v>-120000</v>
      </c>
      <c r="D40" s="79" t="s">
        <v>35</v>
      </c>
      <c r="E40" s="80">
        <f>-'Operating Expenses'!D48</f>
        <v>-3360000</v>
      </c>
      <c r="F40" s="80">
        <f>-'Operating Expenses'!E48</f>
        <v>-1720000</v>
      </c>
      <c r="G40" s="80">
        <f>-'Operating Expenses'!F48</f>
        <v>-1720000</v>
      </c>
    </row>
    <row r="41" spans="1:8" ht="15.75" customHeight="1">
      <c r="A41" s="79" t="s">
        <v>42</v>
      </c>
      <c r="B41" s="79"/>
      <c r="C41" s="80">
        <f t="shared" ref="C41:G41" si="9">C35</f>
        <v>-8062250.0000000009</v>
      </c>
      <c r="D41" s="80">
        <f t="shared" si="9"/>
        <v>-7986600.0000000009</v>
      </c>
      <c r="E41" s="80">
        <f t="shared" si="9"/>
        <v>-7911799.9999999981</v>
      </c>
      <c r="F41" s="80">
        <f t="shared" si="9"/>
        <v>-7838700.0000000037</v>
      </c>
      <c r="G41" s="80">
        <f t="shared" si="9"/>
        <v>-7768149.9999999963</v>
      </c>
    </row>
    <row r="42" spans="1:8" ht="15.75" customHeight="1">
      <c r="A42" s="79" t="s">
        <v>74</v>
      </c>
      <c r="B42" s="79">
        <f t="shared" ref="B42:G42" si="10">SUM(B38:B41)</f>
        <v>-120000000</v>
      </c>
      <c r="C42" s="80">
        <f t="shared" si="10"/>
        <v>-8738735.8999999985</v>
      </c>
      <c r="D42" s="80">
        <f t="shared" si="10"/>
        <v>24119216.130000003</v>
      </c>
      <c r="E42" s="80">
        <f t="shared" si="10"/>
        <v>49976674.449999988</v>
      </c>
      <c r="F42" s="80">
        <f t="shared" si="10"/>
        <v>79995391.223439991</v>
      </c>
      <c r="G42" s="80">
        <f t="shared" si="10"/>
        <v>107244187.5848763</v>
      </c>
    </row>
    <row r="43" spans="1:8" ht="15.75" customHeight="1">
      <c r="A43" s="79" t="s">
        <v>75</v>
      </c>
      <c r="B43" s="79"/>
      <c r="C43" s="79"/>
      <c r="D43" s="79"/>
      <c r="E43" s="79"/>
      <c r="F43" s="79"/>
      <c r="G43" s="80">
        <f>(G42*(1+C5))/(C3-C5)</f>
        <v>649773607.13189757</v>
      </c>
    </row>
    <row r="44" spans="1:8" ht="15.75" customHeight="1">
      <c r="A44" s="79" t="s">
        <v>76</v>
      </c>
      <c r="B44" s="79">
        <f t="shared" ref="B44:G44" si="11">SUM(B42:B43)</f>
        <v>-120000000</v>
      </c>
      <c r="C44" s="80">
        <f t="shared" si="11"/>
        <v>-8738735.8999999985</v>
      </c>
      <c r="D44" s="80">
        <f t="shared" si="11"/>
        <v>24119216.130000003</v>
      </c>
      <c r="E44" s="80">
        <f t="shared" si="11"/>
        <v>49976674.449999988</v>
      </c>
      <c r="F44" s="80">
        <f t="shared" si="11"/>
        <v>79995391.223439991</v>
      </c>
      <c r="G44" s="80">
        <f t="shared" si="11"/>
        <v>757017794.71677387</v>
      </c>
    </row>
    <row r="45" spans="1:8" ht="15.75" customHeight="1">
      <c r="A45" s="81" t="s">
        <v>77</v>
      </c>
      <c r="B45" s="81">
        <f t="shared" ref="B45:G45" si="12">B44/(1+$C$3)^B37</f>
        <v>-120000000</v>
      </c>
      <c r="C45" s="80">
        <f t="shared" si="12"/>
        <v>-7282279.916666666</v>
      </c>
      <c r="D45" s="80">
        <f t="shared" si="12"/>
        <v>16749455.645833336</v>
      </c>
      <c r="E45" s="80">
        <f t="shared" si="12"/>
        <v>28921686.603009254</v>
      </c>
      <c r="F45" s="80">
        <f t="shared" si="12"/>
        <v>38578024.316859566</v>
      </c>
      <c r="G45" s="80">
        <f t="shared" si="12"/>
        <v>304228473.31403273</v>
      </c>
    </row>
    <row r="46" spans="1:8" ht="13">
      <c r="A46" s="79" t="s">
        <v>78</v>
      </c>
      <c r="B46" s="82">
        <f t="array" ref="B46">NPV(C3,C44:G44)+B44</f>
        <v>261195359.96306819</v>
      </c>
    </row>
    <row r="47" spans="1:8" ht="13">
      <c r="A47" s="79" t="s">
        <v>79</v>
      </c>
      <c r="B47" s="83">
        <f>IRR(B44:G44)</f>
        <v>0.5394406360090076</v>
      </c>
    </row>
    <row r="48" spans="1:8" ht="13">
      <c r="A48" s="79" t="s">
        <v>80</v>
      </c>
      <c r="B48" s="79">
        <f>A54+(-C54/B55)</f>
        <v>3.6830749182458993</v>
      </c>
    </row>
    <row r="50" spans="1:3" ht="14">
      <c r="A50" s="84" t="s">
        <v>81</v>
      </c>
      <c r="B50" s="84" t="s">
        <v>82</v>
      </c>
      <c r="C50" s="84"/>
    </row>
    <row r="51" spans="1:3" ht="14">
      <c r="A51" s="84">
        <v>0</v>
      </c>
      <c r="B51" s="84">
        <f>B42</f>
        <v>-120000000</v>
      </c>
      <c r="C51" s="84">
        <f>B51</f>
        <v>-120000000</v>
      </c>
    </row>
    <row r="52" spans="1:3" ht="14">
      <c r="A52" s="84">
        <v>1</v>
      </c>
      <c r="B52" s="85">
        <f>C42</f>
        <v>-8738735.8999999985</v>
      </c>
      <c r="C52" s="85">
        <f t="shared" ref="C52:C53" si="13">C51+B52</f>
        <v>-128738735.90000001</v>
      </c>
    </row>
    <row r="53" spans="1:3" ht="14">
      <c r="A53" s="84">
        <v>2</v>
      </c>
      <c r="B53" s="85">
        <f>D42</f>
        <v>24119216.130000003</v>
      </c>
      <c r="C53" s="85">
        <f t="shared" si="13"/>
        <v>-104619519.77000001</v>
      </c>
    </row>
    <row r="54" spans="1:3" ht="14">
      <c r="A54" s="84">
        <v>3</v>
      </c>
      <c r="B54" s="85">
        <f>E42</f>
        <v>49976674.449999988</v>
      </c>
      <c r="C54" s="85">
        <f t="shared" ref="C54:C56" si="14">B54+C53</f>
        <v>-54642845.320000023</v>
      </c>
    </row>
    <row r="55" spans="1:3" ht="14">
      <c r="A55" s="84">
        <v>4</v>
      </c>
      <c r="B55" s="85">
        <f>F42</f>
        <v>79995391.223439991</v>
      </c>
      <c r="C55" s="85">
        <f t="shared" si="14"/>
        <v>25352545.903439969</v>
      </c>
    </row>
    <row r="56" spans="1:3" ht="14">
      <c r="A56" s="84">
        <v>5</v>
      </c>
      <c r="B56" s="85">
        <f>G42</f>
        <v>107244187.5848763</v>
      </c>
      <c r="C56" s="85">
        <f t="shared" si="14"/>
        <v>132596733.48831627</v>
      </c>
    </row>
  </sheetData>
  <mergeCells count="8">
    <mergeCell ref="I6:M6"/>
    <mergeCell ref="I7:L7"/>
    <mergeCell ref="I9:R9"/>
    <mergeCell ref="I1:J1"/>
    <mergeCell ref="I2:S2"/>
    <mergeCell ref="I3:T3"/>
    <mergeCell ref="I4:N4"/>
    <mergeCell ref="I5:L5"/>
  </mergeCells>
  <hyperlinks>
    <hyperlink ref="D11" r:id="rId1" xr:uid="{00000000-0004-0000-0100-000000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2:H13"/>
  <sheetViews>
    <sheetView workbookViewId="0"/>
  </sheetViews>
  <sheetFormatPr baseColWidth="10" defaultColWidth="12.6640625" defaultRowHeight="15.75" customHeight="1"/>
  <cols>
    <col min="2" max="2" width="20.33203125" customWidth="1"/>
    <col min="3" max="3" width="14.1640625" customWidth="1"/>
    <col min="4" max="5" width="15.6640625" customWidth="1"/>
    <col min="6" max="6" width="16.6640625" customWidth="1"/>
    <col min="7" max="7" width="16.1640625" customWidth="1"/>
  </cols>
  <sheetData>
    <row r="2" spans="1:8">
      <c r="B2" s="17" t="s">
        <v>83</v>
      </c>
    </row>
    <row r="4" spans="1:8">
      <c r="B4" s="17" t="s">
        <v>84</v>
      </c>
      <c r="C4" s="17">
        <v>1</v>
      </c>
      <c r="D4" s="17">
        <v>2</v>
      </c>
      <c r="E4" s="17">
        <v>3</v>
      </c>
      <c r="F4" s="17">
        <v>4</v>
      </c>
      <c r="G4" s="17">
        <v>5</v>
      </c>
    </row>
    <row r="5" spans="1:8">
      <c r="B5" s="68" t="s">
        <v>85</v>
      </c>
      <c r="C5" s="86">
        <f t="shared" ref="C5:G5" si="0">ROUND(1000000*LN(0.00953*C4+1), 0)</f>
        <v>9485</v>
      </c>
      <c r="D5" s="86">
        <f t="shared" si="0"/>
        <v>18881</v>
      </c>
      <c r="E5" s="86">
        <f t="shared" si="0"/>
        <v>28189</v>
      </c>
      <c r="F5" s="86">
        <f t="shared" si="0"/>
        <v>37411</v>
      </c>
      <c r="G5" s="86">
        <f t="shared" si="0"/>
        <v>46550</v>
      </c>
    </row>
    <row r="6" spans="1:8">
      <c r="B6" s="68" t="s">
        <v>86</v>
      </c>
      <c r="C6" s="87">
        <f>C5*('Income Statement and FCF'!$C10)</f>
        <v>47425000</v>
      </c>
      <c r="D6" s="87">
        <f>D5*('Income Statement and FCF'!$C10)</f>
        <v>94405000</v>
      </c>
      <c r="E6" s="87">
        <f>E5*('Income Statement and FCF'!$C10)</f>
        <v>140945000</v>
      </c>
      <c r="F6" s="87">
        <f>F5*('Income Statement and FCF'!$C10)</f>
        <v>187055000</v>
      </c>
      <c r="G6" s="87">
        <f>G5*('Income Statement and FCF'!$C10)</f>
        <v>232750000</v>
      </c>
    </row>
    <row r="8" spans="1:8" ht="15.75" customHeight="1">
      <c r="B8" s="88"/>
      <c r="C8" s="89"/>
    </row>
    <row r="9" spans="1:8">
      <c r="B9" s="17" t="s">
        <v>87</v>
      </c>
    </row>
    <row r="10" spans="1:8">
      <c r="B10" s="17" t="s">
        <v>84</v>
      </c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90"/>
    </row>
    <row r="11" spans="1:8">
      <c r="A11" s="10"/>
      <c r="B11" s="91" t="s">
        <v>88</v>
      </c>
      <c r="C11" s="92">
        <f>C5*'Income Statement and FCF'!$C12</f>
        <v>2845500</v>
      </c>
      <c r="D11" s="92">
        <f>D5*'Income Statement and FCF'!$C12*(1+'Income Statement and FCF'!C7)</f>
        <v>6060801</v>
      </c>
      <c r="E11" s="92">
        <f>E5*'Income Statement and FCF'!$C12*(1+'Income Statement and FCF'!D7)</f>
        <v>8456700</v>
      </c>
      <c r="F11" s="92">
        <f>F5*'Income Statement and FCF'!$C12*(1+'Income Statement and FCF'!E7)</f>
        <v>11223300</v>
      </c>
      <c r="G11" s="92">
        <f>G5*'Income Statement and FCF'!$C12*(1+'Income Statement and FCF'!F7)</f>
        <v>13965000</v>
      </c>
      <c r="H11" s="93" t="s">
        <v>10</v>
      </c>
    </row>
    <row r="12" spans="1:8">
      <c r="A12" s="10"/>
      <c r="B12" s="94" t="s">
        <v>89</v>
      </c>
      <c r="C12" s="95">
        <f>C5*'Income Statement and FCF'!$C13</f>
        <v>3699150</v>
      </c>
      <c r="D12" s="95">
        <f>D5*'Income Statement and FCF'!$C13*(1+'Income Statement and FCF'!$C$7)</f>
        <v>7879041.3000000007</v>
      </c>
      <c r="E12" s="95">
        <f>E5*'Income Statement and FCF'!$C13*(1+'Income Statement and FCF'!$C$7)</f>
        <v>11763269.700000001</v>
      </c>
      <c r="F12" s="95">
        <f>F5*'Income Statement and FCF'!$C13*(1+'Income Statement and FCF'!$C$7)</f>
        <v>15611610.300000001</v>
      </c>
      <c r="G12" s="95">
        <f>G5*'Income Statement and FCF'!$C13*(1+'Income Statement and FCF'!$C$7)</f>
        <v>19425315</v>
      </c>
      <c r="H12" s="96" t="s">
        <v>10</v>
      </c>
    </row>
    <row r="13" spans="1:8">
      <c r="B13" s="94" t="s">
        <v>17</v>
      </c>
      <c r="C13" s="95">
        <f t="shared" ref="C13:G13" si="1">SUM(C10:C12)</f>
        <v>6544651</v>
      </c>
      <c r="D13" s="95">
        <f t="shared" si="1"/>
        <v>13939844.300000001</v>
      </c>
      <c r="E13" s="95">
        <f t="shared" si="1"/>
        <v>20219972.700000003</v>
      </c>
      <c r="F13" s="95">
        <f t="shared" si="1"/>
        <v>26834914.300000001</v>
      </c>
      <c r="G13" s="95">
        <f t="shared" si="1"/>
        <v>33390320</v>
      </c>
    </row>
  </sheetData>
  <hyperlinks>
    <hyperlink ref="H11" r:id="rId1" xr:uid="{00000000-0004-0000-0200-000000000000}"/>
    <hyperlink ref="H12" r:id="rId2" xr:uid="{00000000-0004-0000-0200-000001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Operating Expenses</vt:lpstr>
      <vt:lpstr>Income Statement and FCF</vt:lpstr>
      <vt:lpstr>Gross Income and cost of produc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Aknur Zhakanova</cp:lastModifiedBy>
  <dcterms:created xsi:type="dcterms:W3CDTF">2025-05-02T18:08:02Z</dcterms:created>
  <dcterms:modified xsi:type="dcterms:W3CDTF">2025-05-02T18:08:02Z</dcterms:modified>
</cp:coreProperties>
</file>