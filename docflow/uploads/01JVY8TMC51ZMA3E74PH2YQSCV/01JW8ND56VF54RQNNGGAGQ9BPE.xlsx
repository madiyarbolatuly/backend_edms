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8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E35" i="1"/>
  <c r="E63" i="1" s="1"/>
  <c r="D35" i="1"/>
  <c r="D63" i="1" s="1"/>
  <c r="C35" i="1"/>
  <c r="C63" i="1" s="1"/>
  <c r="F63" i="1"/>
  <c r="D22" i="1" l="1"/>
  <c r="D23" i="1"/>
  <c r="D24" i="1"/>
  <c r="B71" i="1" l="1"/>
  <c r="B70" i="1"/>
  <c r="C69" i="1"/>
  <c r="D69" i="1"/>
  <c r="B69" i="1"/>
  <c r="F54" i="1"/>
  <c r="F55" i="1"/>
  <c r="F56" i="1"/>
  <c r="F57" i="1"/>
  <c r="E54" i="1"/>
  <c r="E55" i="1"/>
  <c r="E56" i="1"/>
  <c r="E57" i="1"/>
  <c r="D54" i="1"/>
  <c r="D55" i="1"/>
  <c r="D56" i="1"/>
  <c r="D57" i="1"/>
  <c r="C54" i="1"/>
  <c r="C55" i="1"/>
  <c r="C56" i="1"/>
  <c r="C57" i="1"/>
  <c r="B54" i="1"/>
  <c r="B55" i="1"/>
  <c r="B56" i="1"/>
  <c r="B57" i="1"/>
  <c r="F53" i="1"/>
  <c r="F58" i="1" s="1"/>
  <c r="F67" i="1" s="1"/>
  <c r="E53" i="1"/>
  <c r="D53" i="1"/>
  <c r="C53" i="1"/>
  <c r="C58" i="1" s="1"/>
  <c r="C67" i="1" s="1"/>
  <c r="B53" i="1"/>
  <c r="B58" i="1" s="1"/>
  <c r="B67" i="1" s="1"/>
  <c r="F41" i="1"/>
  <c r="F42" i="1"/>
  <c r="F40" i="1"/>
  <c r="E40" i="1"/>
  <c r="E41" i="1"/>
  <c r="E42" i="1"/>
  <c r="D41" i="1"/>
  <c r="D42" i="1"/>
  <c r="D40" i="1"/>
  <c r="B46" i="1"/>
  <c r="B47" i="1"/>
  <c r="B48" i="1"/>
  <c r="B30" i="1"/>
  <c r="B72" i="1" s="1"/>
  <c r="C28" i="1"/>
  <c r="D28" i="1" s="1"/>
  <c r="E28" i="1" s="1"/>
  <c r="F28" i="1" s="1"/>
  <c r="F71" i="1" s="1"/>
  <c r="C27" i="1"/>
  <c r="D27" i="1" s="1"/>
  <c r="E27" i="1" s="1"/>
  <c r="F27" i="1" s="1"/>
  <c r="F70" i="1" s="1"/>
  <c r="C34" i="1"/>
  <c r="C65" i="1" s="1"/>
  <c r="D34" i="1"/>
  <c r="D65" i="1" s="1"/>
  <c r="E34" i="1"/>
  <c r="E65" i="1" s="1"/>
  <c r="F34" i="1"/>
  <c r="F65" i="1" s="1"/>
  <c r="B34" i="1"/>
  <c r="B35" i="1" s="1"/>
  <c r="B63" i="1" s="1"/>
  <c r="B65" i="1" s="1"/>
  <c r="E29" i="1"/>
  <c r="F29" i="1" s="1"/>
  <c r="F69" i="1" s="1"/>
  <c r="E58" i="1" l="1"/>
  <c r="E67" i="1" s="1"/>
  <c r="F43" i="1"/>
  <c r="D58" i="1"/>
  <c r="D67" i="1" s="1"/>
  <c r="E70" i="1"/>
  <c r="E43" i="1"/>
  <c r="D70" i="1"/>
  <c r="C70" i="1"/>
  <c r="E69" i="1"/>
  <c r="D43" i="1"/>
  <c r="E71" i="1"/>
  <c r="D71" i="1"/>
  <c r="C71" i="1"/>
  <c r="B73" i="1"/>
  <c r="B74" i="1" s="1"/>
  <c r="B75" i="1" s="1"/>
  <c r="B50" i="1"/>
  <c r="B68" i="1" s="1"/>
  <c r="F48" i="1"/>
  <c r="F47" i="1"/>
  <c r="F46" i="1"/>
  <c r="F50" i="1" s="1"/>
  <c r="F68" i="1" s="1"/>
  <c r="E47" i="1"/>
  <c r="D47" i="1"/>
  <c r="E48" i="1"/>
  <c r="E46" i="1"/>
  <c r="D48" i="1"/>
  <c r="D46" i="1"/>
  <c r="C48" i="1"/>
  <c r="C47" i="1"/>
  <c r="C46" i="1"/>
  <c r="C50" i="1" s="1"/>
  <c r="C68" i="1" s="1"/>
  <c r="F30" i="1"/>
  <c r="F72" i="1" s="1"/>
  <c r="F73" i="1" s="1"/>
  <c r="F74" i="1" s="1"/>
  <c r="F75" i="1" s="1"/>
  <c r="E30" i="1"/>
  <c r="E72" i="1" s="1"/>
  <c r="E73" i="1" s="1"/>
  <c r="E74" i="1" s="1"/>
  <c r="E75" i="1" s="1"/>
  <c r="D30" i="1"/>
  <c r="D72" i="1" s="1"/>
  <c r="D73" i="1" s="1"/>
  <c r="D74" i="1" s="1"/>
  <c r="D75" i="1" s="1"/>
  <c r="C30" i="1"/>
  <c r="C72" i="1" s="1"/>
  <c r="C73" i="1" s="1"/>
  <c r="C74" i="1" s="1"/>
  <c r="C75" i="1" s="1"/>
  <c r="D50" i="1" l="1"/>
  <c r="D68" i="1" s="1"/>
  <c r="E50" i="1"/>
  <c r="E68" i="1" s="1"/>
</calcChain>
</file>

<file path=xl/sharedStrings.xml><?xml version="1.0" encoding="utf-8"?>
<sst xmlns="http://schemas.openxmlformats.org/spreadsheetml/2006/main" count="127" uniqueCount="69">
  <si>
    <t>Tax</t>
  </si>
  <si>
    <t>days in 1 year</t>
  </si>
  <si>
    <t>Subcription for 1 year</t>
  </si>
  <si>
    <t xml:space="preserve">all values are provided in Kazakhstani Tenge </t>
  </si>
  <si>
    <t>Sofware Developer</t>
  </si>
  <si>
    <t xml:space="preserve">IT support </t>
  </si>
  <si>
    <t>External affair Manager</t>
  </si>
  <si>
    <t>Salary</t>
  </si>
  <si>
    <t>Content Creator</t>
  </si>
  <si>
    <t>Accountant</t>
  </si>
  <si>
    <t>COGS</t>
  </si>
  <si>
    <t>Fixed Assets</t>
  </si>
  <si>
    <t>Computer</t>
  </si>
  <si>
    <t>Position</t>
  </si>
  <si>
    <t>Monitor</t>
  </si>
  <si>
    <t>Year 2</t>
  </si>
  <si>
    <t>Year 1</t>
  </si>
  <si>
    <t>Year 3</t>
  </si>
  <si>
    <t>Year 4</t>
  </si>
  <si>
    <t>Year 5</t>
  </si>
  <si>
    <t>Cost</t>
  </si>
  <si>
    <t>Lifespan</t>
  </si>
  <si>
    <t>5 years</t>
  </si>
  <si>
    <t>Expenses</t>
  </si>
  <si>
    <t>Telephones</t>
  </si>
  <si>
    <t xml:space="preserve">Telephones </t>
  </si>
  <si>
    <t>Travel expenses</t>
  </si>
  <si>
    <t xml:space="preserve">Year 1 </t>
  </si>
  <si>
    <t>Maintain of app</t>
  </si>
  <si>
    <t>Rent</t>
  </si>
  <si>
    <t>Number of sales</t>
  </si>
  <si>
    <t>N = 1000000*ln(0.00953*t+1)</t>
  </si>
  <si>
    <t xml:space="preserve">where </t>
  </si>
  <si>
    <t>Let’s the formula for increase of customers be</t>
  </si>
  <si>
    <t>N is number of subscribers</t>
  </si>
  <si>
    <t>t is a year</t>
  </si>
  <si>
    <t>Years</t>
  </si>
  <si>
    <t>Number of subscribers</t>
  </si>
  <si>
    <t>Revenue</t>
  </si>
  <si>
    <t>Column2</t>
  </si>
  <si>
    <t>Column3</t>
  </si>
  <si>
    <t>Column4</t>
  </si>
  <si>
    <t>Column5</t>
  </si>
  <si>
    <t>Column6</t>
  </si>
  <si>
    <t xml:space="preserve">Total </t>
  </si>
  <si>
    <t>Depreciation</t>
  </si>
  <si>
    <t>Depreciationper year</t>
  </si>
  <si>
    <t>CapEx</t>
  </si>
  <si>
    <t>-</t>
  </si>
  <si>
    <t>Total</t>
  </si>
  <si>
    <t>Salaries Expenses</t>
  </si>
  <si>
    <t>Income Statement</t>
  </si>
  <si>
    <t>Sales</t>
  </si>
  <si>
    <t xml:space="preserve">Gross profit </t>
  </si>
  <si>
    <t>Operating expenses</t>
  </si>
  <si>
    <t>Salaries</t>
  </si>
  <si>
    <t>Deprication</t>
  </si>
  <si>
    <t>Travel</t>
  </si>
  <si>
    <t>Total of operating expenses</t>
  </si>
  <si>
    <t>EBIT</t>
  </si>
  <si>
    <t>Taxes</t>
  </si>
  <si>
    <t>Net Income</t>
  </si>
  <si>
    <t>Assumptions</t>
  </si>
  <si>
    <t>3)rate of inflation is 9.8% is considered to Expenses</t>
  </si>
  <si>
    <t>2)Rate of increasing of rent a year is decided to be 10%, first 2 years we do not need office due to low amount of customers</t>
  </si>
  <si>
    <t>4) formula for increase of customers</t>
  </si>
  <si>
    <t>5) after two years we will hire 2 it supports workers since amount of subscribers increase siginificantly</t>
  </si>
  <si>
    <t>Operations</t>
  </si>
  <si>
    <t>1) Cost of good sold is considered one time since we need to buy a mobile app from a developer and that's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</si>
</sst>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3" xfId="0" applyFont="1" applyFill="1" applyBorder="1"/>
    <xf numFmtId="0" fontId="0" fillId="4" borderId="0" xfId="0" applyFill="1"/>
    <xf numFmtId="0" fontId="1" fillId="4" borderId="0" xfId="0" applyFont="1" applyFill="1"/>
    <xf numFmtId="0" fontId="3" fillId="4" borderId="0" xfId="0" applyFont="1" applyFill="1"/>
    <xf numFmtId="0" fontId="0" fillId="0" borderId="0" xfId="0" applyFill="1"/>
    <xf numFmtId="0" fontId="3" fillId="5" borderId="4" xfId="0" applyFont="1" applyFill="1" applyBorder="1"/>
    <xf numFmtId="9" fontId="1" fillId="5" borderId="4" xfId="0" applyNumberFormat="1" applyFont="1" applyFill="1" applyBorder="1"/>
    <xf numFmtId="0" fontId="3" fillId="5" borderId="4" xfId="0" applyFont="1" applyFill="1" applyBorder="1" applyAlignment="1">
      <alignment horizontal="left"/>
    </xf>
    <xf numFmtId="0" fontId="1" fillId="5" borderId="4" xfId="0" applyFont="1" applyFill="1" applyBorder="1"/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71"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</dxfs>
  <tableStyles count="0" defaultTableStyle="TableStyleMedium2" defaultPivotStyle="PivotStyleLight16"/>
  <colors>
    <mruColors>
      <color rgb="FFFFA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G14" totalsRowShown="0" headerRowDxfId="70" dataDxfId="69">
  <autoFilter ref="A9:G14"/>
  <tableColumns count="7">
    <tableColumn id="1" name="Position" dataDxfId="68"/>
    <tableColumn id="2" name="Salary" dataDxfId="67"/>
    <tableColumn id="4" name="Year 1" dataDxfId="66"/>
    <tableColumn id="5" name="Year 2" dataDxfId="65"/>
    <tableColumn id="6" name="Year 3" dataDxfId="64"/>
    <tableColumn id="7" name="Year 4" dataDxfId="63"/>
    <tableColumn id="8" name="Year 5" dataDxfId="6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7:F20" totalsRowShown="0" headerRowDxfId="61" dataDxfId="60">
  <autoFilter ref="A17:F20"/>
  <tableColumns count="6">
    <tableColumn id="1" name="Fixed Assets" dataDxfId="59"/>
    <tableColumn id="2" name="Year 1" dataDxfId="58"/>
    <tableColumn id="3" name="Year 2" dataDxfId="57"/>
    <tableColumn id="4" name="Year 3" dataDxfId="56"/>
    <tableColumn id="5" name="Year 4" dataDxfId="55"/>
    <tableColumn id="6" name="Year 5" dataDxfId="54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1:D24" totalsRowShown="0" headerRowDxfId="53" dataDxfId="52">
  <autoFilter ref="A21:D24"/>
  <tableColumns count="4">
    <tableColumn id="1" name="Fixed Assets" dataDxfId="51"/>
    <tableColumn id="2" name="Cost" dataDxfId="50"/>
    <tableColumn id="3" name="Lifespan" dataDxfId="49"/>
    <tableColumn id="4" name="Depreciationper year" dataDxfId="48">
      <calculatedColumnFormula>Table3[[#This Row],[Cost]]/5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6:F30" totalsRowShown="0" headerRowDxfId="47" dataDxfId="46">
  <autoFilter ref="A26:F30"/>
  <tableColumns count="6">
    <tableColumn id="1" name="Expenses" dataDxfId="45"/>
    <tableColumn id="2" name="Year 1 " dataDxfId="44"/>
    <tableColumn id="3" name="Year 2" dataDxfId="43"/>
    <tableColumn id="4" name="Year 3" dataDxfId="42"/>
    <tableColumn id="5" name="Year 4" dataDxfId="41"/>
    <tableColumn id="6" name="Year 5" dataDxfId="40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2:F36" totalsRowShown="0" headerRowDxfId="39" dataDxfId="38">
  <autoFilter ref="A32:F36"/>
  <tableColumns count="6">
    <tableColumn id="1" name="Number of sales" dataDxfId="37"/>
    <tableColumn id="2" name="Column2" dataDxfId="36"/>
    <tableColumn id="3" name="Column3" dataDxfId="35"/>
    <tableColumn id="4" name="Column4" dataDxfId="34"/>
    <tableColumn id="5" name="Column5" dataDxfId="33"/>
    <tableColumn id="6" name="Column6" dataDxfId="32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7" name="Table68" displayName="Table68" ref="A45:F49" totalsRowShown="0" headerRowDxfId="31" dataDxfId="30">
  <autoFilter ref="A45:F49"/>
  <tableColumns count="6">
    <tableColumn id="1" name="Depreciation" dataDxfId="29"/>
    <tableColumn id="2" name="Year 1" dataDxfId="28">
      <calculatedColumnFormula>D22*(B18)</calculatedColumnFormula>
    </tableColumn>
    <tableColumn id="3" name="Year 2" dataDxfId="27">
      <calculatedColumnFormula>D22*(C18+B18)</calculatedColumnFormula>
    </tableColumn>
    <tableColumn id="4" name="Year 3" dataDxfId="26">
      <calculatedColumnFormula>D22*(D18+C18+B18)</calculatedColumnFormula>
    </tableColumn>
    <tableColumn id="5" name="Year 4" dataDxfId="25">
      <calculatedColumnFormula>D22*(E18+D18+C18+B18)</calculatedColumnFormula>
    </tableColumn>
    <tableColumn id="6" name="Year 5" dataDxfId="24">
      <calculatedColumnFormula>D22*(F18+E18+D18+C18+B18)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52:F58" totalsRowShown="0" headerRowDxfId="23" dataDxfId="22">
  <autoFilter ref="A52:F58"/>
  <tableColumns count="6">
    <tableColumn id="1" name="Salaries Expenses" dataDxfId="21"/>
    <tableColumn id="2" name="Year 1" dataDxfId="20"/>
    <tableColumn id="3" name="Year 2" dataDxfId="19"/>
    <tableColumn id="4" name="Year 3" dataDxfId="18"/>
    <tableColumn id="5" name="Year 4" dataDxfId="17"/>
    <tableColumn id="6" name="Year 5" dataDxfId="16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39:F43" totalsRowShown="0" headerRowDxfId="15" dataDxfId="14">
  <autoFilter ref="A39:F43"/>
  <tableColumns count="6">
    <tableColumn id="1" name="Fixed Assets" dataDxfId="13"/>
    <tableColumn id="2" name="Year 1" dataDxfId="12"/>
    <tableColumn id="3" name="Year 2" dataDxfId="11"/>
    <tableColumn id="4" name="Year 3" dataDxfId="10"/>
    <tableColumn id="5" name="Year 4" dataDxfId="9"/>
    <tableColumn id="6" name="Year 5" dataDxfId="8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8" name="Table8" displayName="Table8" ref="A62:F75" totalsRowShown="0" headerRowDxfId="7" dataDxfId="6">
  <autoFilter ref="A62:F75"/>
  <tableColumns count="6">
    <tableColumn id="1" name="Operations" dataDxfId="5"/>
    <tableColumn id="2" name="Year 1" dataDxfId="4"/>
    <tableColumn id="3" name="Year 2" dataDxfId="3"/>
    <tableColumn id="4" name="Year 3" dataDxfId="2"/>
    <tableColumn id="5" name="Year 4" dataDxfId="1"/>
    <tableColumn id="6" name="Year 5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tabSelected="1" topLeftCell="A13" zoomScale="75" zoomScaleNormal="100" workbookViewId="0">
      <selection activeCell="H59" sqref="H59"/>
    </sheetView>
  </sheetViews>
  <sheetFormatPr defaultColWidth="8.85546875" defaultRowHeight="15" x14ac:dyDescent="0.25"/>
  <cols>
    <col min="1" max="1" width="22" bestFit="1" customWidth="1"/>
    <col min="2" max="2" width="16" customWidth="1"/>
    <col min="3" max="3" width="12.85546875" customWidth="1"/>
    <col min="4" max="4" width="13" customWidth="1"/>
    <col min="5" max="5" width="11.42578125" customWidth="1"/>
    <col min="6" max="6" width="13.42578125" customWidth="1"/>
    <col min="7" max="7" width="14.85546875" customWidth="1"/>
  </cols>
  <sheetData>
    <row r="1" spans="1:41" ht="15.75" x14ac:dyDescent="0.25">
      <c r="A1" s="15" t="s">
        <v>3</v>
      </c>
      <c r="B1" s="15"/>
      <c r="C1" s="13"/>
      <c r="D1" s="16"/>
    </row>
    <row r="2" spans="1:41" ht="15.75" x14ac:dyDescent="0.25">
      <c r="A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5" t="s">
        <v>62</v>
      </c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5.75" x14ac:dyDescent="0.25">
      <c r="A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4" t="s">
        <v>68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x14ac:dyDescent="0.25">
      <c r="A4" s="17" t="s">
        <v>0</v>
      </c>
      <c r="B4" s="18">
        <v>0.2</v>
      </c>
      <c r="C4" s="21"/>
      <c r="D4" s="21"/>
      <c r="E4" s="2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4" t="s">
        <v>64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x14ac:dyDescent="0.25">
      <c r="A5" s="19" t="s">
        <v>1</v>
      </c>
      <c r="B5" s="20">
        <v>365</v>
      </c>
      <c r="C5" s="21"/>
      <c r="D5" s="21"/>
      <c r="E5" s="21"/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4" t="s">
        <v>63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5.75" x14ac:dyDescent="0.25">
      <c r="A6" s="17" t="s">
        <v>10</v>
      </c>
      <c r="B6" s="20">
        <v>10000000</v>
      </c>
      <c r="C6" s="22"/>
      <c r="D6" s="22"/>
      <c r="E6" s="22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4" t="s">
        <v>65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75" x14ac:dyDescent="0.25">
      <c r="A7" s="17" t="s">
        <v>2</v>
      </c>
      <c r="B7" s="20">
        <v>10000</v>
      </c>
      <c r="C7" s="22"/>
      <c r="D7" s="22"/>
      <c r="E7" s="22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4" t="s">
        <v>33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4" t="s">
        <v>31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5.75" x14ac:dyDescent="0.25">
      <c r="A9" s="1" t="s">
        <v>13</v>
      </c>
      <c r="B9" s="1" t="s">
        <v>7</v>
      </c>
      <c r="C9" s="1" t="s">
        <v>16</v>
      </c>
      <c r="D9" s="4" t="s">
        <v>15</v>
      </c>
      <c r="E9" s="1" t="s">
        <v>17</v>
      </c>
      <c r="F9" s="1" t="s">
        <v>18</v>
      </c>
      <c r="G9" s="1" t="s">
        <v>19</v>
      </c>
      <c r="H9" s="1"/>
      <c r="I9" s="1"/>
      <c r="J9" s="1"/>
      <c r="K9" s="1"/>
      <c r="L9" s="1"/>
      <c r="M9" s="1"/>
      <c r="N9" s="1"/>
      <c r="O9" s="1"/>
      <c r="P9" s="1"/>
      <c r="Q9" s="14" t="s">
        <v>32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5.75" x14ac:dyDescent="0.25">
      <c r="A10" s="3" t="s">
        <v>4</v>
      </c>
      <c r="B10" s="1">
        <v>500000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4" t="s">
        <v>34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5.75" x14ac:dyDescent="0.25">
      <c r="A11" s="3" t="s">
        <v>5</v>
      </c>
      <c r="B11" s="1">
        <v>300000</v>
      </c>
      <c r="C11" s="1">
        <v>1</v>
      </c>
      <c r="D11" s="1">
        <v>1</v>
      </c>
      <c r="E11" s="1">
        <v>2</v>
      </c>
      <c r="F11" s="1">
        <v>4</v>
      </c>
      <c r="G11" s="1">
        <v>6</v>
      </c>
      <c r="H11" s="1"/>
      <c r="I11" s="1"/>
      <c r="J11" s="1"/>
      <c r="K11" s="1"/>
      <c r="L11" s="1"/>
      <c r="M11" s="1"/>
      <c r="N11" s="1"/>
      <c r="O11" s="1"/>
      <c r="P11" s="1"/>
      <c r="Q11" s="14" t="s">
        <v>35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5.75" x14ac:dyDescent="0.25">
      <c r="A12" s="1" t="s">
        <v>6</v>
      </c>
      <c r="B12" s="1">
        <v>300000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4" t="s">
        <v>66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5.75" x14ac:dyDescent="0.25">
      <c r="A13" s="1" t="s">
        <v>9</v>
      </c>
      <c r="B13" s="1">
        <v>200000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.75" x14ac:dyDescent="0.25">
      <c r="A14" s="1" t="s">
        <v>8</v>
      </c>
      <c r="B14" s="1">
        <v>200000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5.75" x14ac:dyDescent="0.25">
      <c r="A17" s="1" t="s">
        <v>11</v>
      </c>
      <c r="B17" s="4" t="s">
        <v>16</v>
      </c>
      <c r="C17" s="4" t="s">
        <v>15</v>
      </c>
      <c r="D17" s="4" t="s">
        <v>17</v>
      </c>
      <c r="E17" s="4" t="s">
        <v>18</v>
      </c>
      <c r="F17" s="4" t="s">
        <v>19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5.75" x14ac:dyDescent="0.25">
      <c r="A18" s="1" t="s">
        <v>12</v>
      </c>
      <c r="B18" s="1">
        <v>0</v>
      </c>
      <c r="C18" s="1">
        <v>0</v>
      </c>
      <c r="D18" s="1">
        <v>4</v>
      </c>
      <c r="E18" s="1">
        <v>2</v>
      </c>
      <c r="F18" s="1">
        <v>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5.75" x14ac:dyDescent="0.25">
      <c r="A19" s="1" t="s">
        <v>14</v>
      </c>
      <c r="B19" s="1">
        <v>0</v>
      </c>
      <c r="C19" s="1">
        <v>0</v>
      </c>
      <c r="D19" s="1">
        <v>5</v>
      </c>
      <c r="E19" s="1">
        <v>2</v>
      </c>
      <c r="F19" s="1"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x14ac:dyDescent="0.25">
      <c r="A20" s="1" t="s">
        <v>24</v>
      </c>
      <c r="B20" s="1">
        <v>0</v>
      </c>
      <c r="C20" s="1">
        <v>0</v>
      </c>
      <c r="D20" s="1">
        <v>2</v>
      </c>
      <c r="E20" s="1">
        <v>2</v>
      </c>
      <c r="F20" s="1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x14ac:dyDescent="0.25">
      <c r="A21" s="1" t="s">
        <v>11</v>
      </c>
      <c r="B21" s="1" t="s">
        <v>20</v>
      </c>
      <c r="C21" s="1" t="s">
        <v>21</v>
      </c>
      <c r="D21" s="1" t="s">
        <v>46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x14ac:dyDescent="0.25">
      <c r="A22" s="1" t="s">
        <v>12</v>
      </c>
      <c r="B22" s="1">
        <v>700000</v>
      </c>
      <c r="C22" s="1" t="s">
        <v>22</v>
      </c>
      <c r="D22" s="1">
        <f>Table3[[#This Row],[Cost]]/5</f>
        <v>140000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x14ac:dyDescent="0.25">
      <c r="A23" s="1" t="s">
        <v>14</v>
      </c>
      <c r="B23" s="1">
        <v>60000</v>
      </c>
      <c r="C23" s="1" t="s">
        <v>22</v>
      </c>
      <c r="D23" s="1">
        <f>Table3[[#This Row],[Cost]]/5</f>
        <v>12000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x14ac:dyDescent="0.25">
      <c r="A24" s="1" t="s">
        <v>25</v>
      </c>
      <c r="B24" s="1">
        <v>100000</v>
      </c>
      <c r="C24" s="1" t="s">
        <v>22</v>
      </c>
      <c r="D24" s="1">
        <f>Table3[[#This Row],[Cost]]/5</f>
        <v>20000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x14ac:dyDescent="0.25">
      <c r="A26" s="1" t="s">
        <v>23</v>
      </c>
      <c r="B26" s="1" t="s">
        <v>27</v>
      </c>
      <c r="C26" s="1" t="s">
        <v>15</v>
      </c>
      <c r="D26" s="1" t="s">
        <v>17</v>
      </c>
      <c r="E26" s="1" t="s">
        <v>18</v>
      </c>
      <c r="F26" s="1" t="s">
        <v>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x14ac:dyDescent="0.25">
      <c r="A27" s="1" t="s">
        <v>26</v>
      </c>
      <c r="B27" s="1">
        <v>3000000</v>
      </c>
      <c r="C27" s="1">
        <f>1.098*Table4[[#This Row],[Year 1 ]]</f>
        <v>3294000.0000000005</v>
      </c>
      <c r="D27" s="1">
        <f>0.902*Table4[[#This Row],[Year 2]]</f>
        <v>2971188.0000000005</v>
      </c>
      <c r="E27" s="1">
        <f>0.902*Table4[[#This Row],[Year 3]]</f>
        <v>2680011.5760000004</v>
      </c>
      <c r="F27" s="1">
        <f>1.098*Table4[[#This Row],[Year 4]]</f>
        <v>2942652.7104480006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x14ac:dyDescent="0.25">
      <c r="A28" s="1" t="s">
        <v>28</v>
      </c>
      <c r="B28" s="1">
        <v>15000000</v>
      </c>
      <c r="C28" s="1">
        <f>Table4[[#This Row],[Year 1 ]]*1.098</f>
        <v>16470000.000000002</v>
      </c>
      <c r="D28" s="1">
        <f>Table4[[#This Row],[Year 2]]*1.098</f>
        <v>18084060.000000004</v>
      </c>
      <c r="E28" s="1">
        <f>Table4[[#This Row],[Year 3]]*1.098</f>
        <v>19856297.880000006</v>
      </c>
      <c r="F28" s="1">
        <f>Table4[[#This Row],[Year 4]]*1.098</f>
        <v>21802215.07224001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x14ac:dyDescent="0.25">
      <c r="A29" s="1" t="s">
        <v>29</v>
      </c>
      <c r="B29" s="1">
        <v>0</v>
      </c>
      <c r="C29" s="1">
        <v>0</v>
      </c>
      <c r="D29" s="1">
        <v>1000000</v>
      </c>
      <c r="E29" s="1">
        <f xml:space="preserve"> D29*1.1</f>
        <v>1100000</v>
      </c>
      <c r="F29" s="1">
        <f>E29*1.1</f>
        <v>1210000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x14ac:dyDescent="0.25">
      <c r="A30" s="10" t="s">
        <v>44</v>
      </c>
      <c r="B30" s="10">
        <f>B27+B28+B29</f>
        <v>18000000</v>
      </c>
      <c r="C30" s="10">
        <f t="shared" ref="C30:F30" si="0">C27+C28+C29</f>
        <v>19764000.000000004</v>
      </c>
      <c r="D30" s="10">
        <f t="shared" si="0"/>
        <v>22055248.000000004</v>
      </c>
      <c r="E30" s="10">
        <f t="shared" si="0"/>
        <v>23636309.456000008</v>
      </c>
      <c r="F30" s="10">
        <f t="shared" si="0"/>
        <v>25954867.78268801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5.75" x14ac:dyDescent="0.25">
      <c r="A32" s="1" t="s">
        <v>30</v>
      </c>
      <c r="B32" s="1" t="s">
        <v>39</v>
      </c>
      <c r="C32" s="1" t="s">
        <v>40</v>
      </c>
      <c r="D32" s="1" t="s">
        <v>41</v>
      </c>
      <c r="E32" s="1" t="s">
        <v>42</v>
      </c>
      <c r="F32" s="1" t="s">
        <v>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5.75" x14ac:dyDescent="0.25">
      <c r="A33" s="1" t="s">
        <v>36</v>
      </c>
      <c r="B33" s="1">
        <v>1</v>
      </c>
      <c r="C33" s="1">
        <v>2</v>
      </c>
      <c r="D33" s="1">
        <v>3</v>
      </c>
      <c r="E33" s="1">
        <v>4</v>
      </c>
      <c r="F33" s="1">
        <v>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x14ac:dyDescent="0.25">
      <c r="A34" s="1" t="s">
        <v>37</v>
      </c>
      <c r="B34" s="1">
        <f>ROUND(1000000*LN(0.00953*B33+1), 0)</f>
        <v>9485</v>
      </c>
      <c r="C34" s="1">
        <f t="shared" ref="C34:F34" si="1">ROUND(1000000*LN(0.00953*C33+1), 0)</f>
        <v>18881</v>
      </c>
      <c r="D34" s="1">
        <f t="shared" si="1"/>
        <v>28189</v>
      </c>
      <c r="E34" s="1">
        <f t="shared" si="1"/>
        <v>37411</v>
      </c>
      <c r="F34" s="1">
        <f t="shared" si="1"/>
        <v>46550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x14ac:dyDescent="0.25">
      <c r="A35" s="1" t="s">
        <v>38</v>
      </c>
      <c r="B35" s="1">
        <f>B34*B7</f>
        <v>94850000</v>
      </c>
      <c r="C35" s="1">
        <f>C34*B7</f>
        <v>188810000</v>
      </c>
      <c r="D35" s="1">
        <f>D34*B7</f>
        <v>281890000</v>
      </c>
      <c r="E35" s="1">
        <f>E34*B7</f>
        <v>374110000</v>
      </c>
      <c r="F35" s="1">
        <f>B7*F34</f>
        <v>465500000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5.75" x14ac:dyDescent="0.25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5.75" x14ac:dyDescent="0.25">
      <c r="A39" s="5" t="s">
        <v>11</v>
      </c>
      <c r="B39" s="1" t="s">
        <v>16</v>
      </c>
      <c r="C39" s="1" t="s">
        <v>15</v>
      </c>
      <c r="D39" s="1" t="s">
        <v>17</v>
      </c>
      <c r="E39" s="1" t="s">
        <v>18</v>
      </c>
      <c r="F39" s="1" t="s">
        <v>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x14ac:dyDescent="0.25">
      <c r="A40" s="6" t="s">
        <v>12</v>
      </c>
      <c r="B40" s="4" t="s">
        <v>48</v>
      </c>
      <c r="C40" s="4" t="s">
        <v>48</v>
      </c>
      <c r="D40" s="1">
        <f>D18*B22</f>
        <v>2800000</v>
      </c>
      <c r="E40" s="1">
        <f>E18*B22</f>
        <v>1400000</v>
      </c>
      <c r="F40" s="1">
        <f>F18*B22</f>
        <v>1400000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x14ac:dyDescent="0.25">
      <c r="A41" s="6" t="s">
        <v>14</v>
      </c>
      <c r="B41" s="4" t="s">
        <v>48</v>
      </c>
      <c r="C41" s="4" t="s">
        <v>48</v>
      </c>
      <c r="D41" s="1">
        <f t="shared" ref="D41:D42" si="2">D19*B23</f>
        <v>300000</v>
      </c>
      <c r="E41" s="1">
        <f t="shared" ref="E41:E42" si="3">E19*B23</f>
        <v>120000</v>
      </c>
      <c r="F41" s="1">
        <f t="shared" ref="F41:F42" si="4">F19*B23</f>
        <v>120000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x14ac:dyDescent="0.25">
      <c r="A42" s="7" t="s">
        <v>25</v>
      </c>
      <c r="B42" s="4" t="s">
        <v>48</v>
      </c>
      <c r="C42" s="4" t="s">
        <v>48</v>
      </c>
      <c r="D42" s="1">
        <f t="shared" si="2"/>
        <v>200000</v>
      </c>
      <c r="E42" s="1">
        <f t="shared" si="3"/>
        <v>200000</v>
      </c>
      <c r="F42" s="1">
        <f t="shared" si="4"/>
        <v>200000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x14ac:dyDescent="0.25">
      <c r="A43" s="10" t="s">
        <v>49</v>
      </c>
      <c r="B43" s="11" t="s">
        <v>48</v>
      </c>
      <c r="C43" s="11" t="s">
        <v>48</v>
      </c>
      <c r="D43" s="10">
        <f>D40+D41+D42</f>
        <v>3300000</v>
      </c>
      <c r="E43" s="10">
        <f t="shared" ref="E43:F43" si="5">E40+E41+E42</f>
        <v>1720000</v>
      </c>
      <c r="F43" s="10">
        <f t="shared" si="5"/>
        <v>1720000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x14ac:dyDescent="0.25">
      <c r="A45" s="1" t="s">
        <v>45</v>
      </c>
      <c r="B45" s="1" t="s">
        <v>16</v>
      </c>
      <c r="C45" s="1" t="s">
        <v>15</v>
      </c>
      <c r="D45" s="1" t="s">
        <v>17</v>
      </c>
      <c r="E45" s="1" t="s">
        <v>18</v>
      </c>
      <c r="F45" s="1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x14ac:dyDescent="0.25">
      <c r="A46" s="6" t="s">
        <v>12</v>
      </c>
      <c r="B46" s="1">
        <f t="shared" ref="B46:B48" si="6">D22*(B18)</f>
        <v>0</v>
      </c>
      <c r="C46" s="1">
        <f t="shared" ref="C46:C48" si="7">D22*(C18+B18)</f>
        <v>0</v>
      </c>
      <c r="D46" s="1">
        <f t="shared" ref="D46:D48" si="8">D22*(D18+C18+B18)</f>
        <v>560000</v>
      </c>
      <c r="E46" s="1">
        <f t="shared" ref="E46:E48" si="9">D22*(E18+D18+C18+B18)</f>
        <v>840000</v>
      </c>
      <c r="F46" s="1">
        <f t="shared" ref="F46:F48" si="10">D22*(F18+E18+D18+C18+B18)</f>
        <v>1120000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x14ac:dyDescent="0.25">
      <c r="A47" s="6" t="s">
        <v>14</v>
      </c>
      <c r="B47" s="1">
        <f t="shared" si="6"/>
        <v>0</v>
      </c>
      <c r="C47" s="1">
        <f t="shared" si="7"/>
        <v>0</v>
      </c>
      <c r="D47" s="1">
        <f t="shared" si="8"/>
        <v>60000</v>
      </c>
      <c r="E47" s="1">
        <f t="shared" si="9"/>
        <v>84000</v>
      </c>
      <c r="F47" s="1">
        <f t="shared" si="10"/>
        <v>108000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x14ac:dyDescent="0.25">
      <c r="A48" s="7" t="s">
        <v>25</v>
      </c>
      <c r="B48" s="1">
        <f t="shared" si="6"/>
        <v>0</v>
      </c>
      <c r="C48" s="1">
        <f t="shared" si="7"/>
        <v>0</v>
      </c>
      <c r="D48" s="1">
        <f t="shared" si="8"/>
        <v>40000</v>
      </c>
      <c r="E48" s="1">
        <f t="shared" si="9"/>
        <v>80000</v>
      </c>
      <c r="F48" s="1">
        <f t="shared" si="10"/>
        <v>120000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x14ac:dyDescent="0.25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x14ac:dyDescent="0.25">
      <c r="A50" s="10" t="s">
        <v>49</v>
      </c>
      <c r="B50" s="10">
        <f>B46+B48+B47</f>
        <v>0</v>
      </c>
      <c r="C50" s="10">
        <f t="shared" ref="C50:F50" si="11">C46+C48+C47</f>
        <v>0</v>
      </c>
      <c r="D50" s="10">
        <f t="shared" si="11"/>
        <v>660000</v>
      </c>
      <c r="E50" s="10">
        <f t="shared" si="11"/>
        <v>1004000</v>
      </c>
      <c r="F50" s="10">
        <f t="shared" si="11"/>
        <v>1348000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41" ht="15.75" x14ac:dyDescent="0.25">
      <c r="A52" s="1" t="s">
        <v>50</v>
      </c>
      <c r="B52" s="1" t="s">
        <v>16</v>
      </c>
      <c r="C52" s="1" t="s">
        <v>15</v>
      </c>
      <c r="D52" s="1" t="s">
        <v>17</v>
      </c>
      <c r="E52" s="1" t="s">
        <v>18</v>
      </c>
      <c r="F52" s="1" t="s">
        <v>19</v>
      </c>
      <c r="G52" s="1"/>
      <c r="H52" s="1"/>
      <c r="I52" s="1"/>
    </row>
    <row r="53" spans="1:41" ht="15.75" x14ac:dyDescent="0.25">
      <c r="A53" s="8" t="s">
        <v>4</v>
      </c>
      <c r="B53" s="1">
        <f>B10*12*C10</f>
        <v>6000000</v>
      </c>
      <c r="C53" s="1">
        <f>B10*12*D10</f>
        <v>6000000</v>
      </c>
      <c r="D53" s="1">
        <f>B10*12*E10</f>
        <v>6000000</v>
      </c>
      <c r="E53" s="1">
        <f>B10*F10*12</f>
        <v>6000000</v>
      </c>
      <c r="F53" s="1">
        <f>B10*12*G10</f>
        <v>6000000</v>
      </c>
      <c r="G53" s="1"/>
      <c r="H53" s="1"/>
      <c r="I53" s="1"/>
    </row>
    <row r="54" spans="1:41" ht="15.75" x14ac:dyDescent="0.25">
      <c r="A54" s="8" t="s">
        <v>5</v>
      </c>
      <c r="B54" s="1">
        <f t="shared" ref="B54:B57" si="12">B11*12*C11</f>
        <v>3600000</v>
      </c>
      <c r="C54" s="1">
        <f t="shared" ref="C54:C57" si="13">B11*12*D11</f>
        <v>3600000</v>
      </c>
      <c r="D54" s="1">
        <f t="shared" ref="D54:D57" si="14">B11*12*E11</f>
        <v>7200000</v>
      </c>
      <c r="E54" s="1">
        <f t="shared" ref="E54:E57" si="15">B11*F11*12</f>
        <v>14400000</v>
      </c>
      <c r="F54" s="1">
        <f t="shared" ref="F54:F57" si="16">B11*12*G11</f>
        <v>21600000</v>
      </c>
      <c r="G54" s="1"/>
      <c r="H54" s="1"/>
      <c r="I54" s="1"/>
    </row>
    <row r="55" spans="1:41" ht="15.75" x14ac:dyDescent="0.25">
      <c r="A55" s="6" t="s">
        <v>6</v>
      </c>
      <c r="B55" s="1">
        <f t="shared" si="12"/>
        <v>3600000</v>
      </c>
      <c r="C55" s="1">
        <f t="shared" si="13"/>
        <v>3600000</v>
      </c>
      <c r="D55" s="1">
        <f t="shared" si="14"/>
        <v>3600000</v>
      </c>
      <c r="E55" s="1">
        <f t="shared" si="15"/>
        <v>3600000</v>
      </c>
      <c r="F55" s="1">
        <f t="shared" si="16"/>
        <v>3600000</v>
      </c>
      <c r="G55" s="1"/>
      <c r="H55" s="1"/>
      <c r="I55" s="1"/>
    </row>
    <row r="56" spans="1:41" ht="15.75" x14ac:dyDescent="0.25">
      <c r="A56" s="6" t="s">
        <v>9</v>
      </c>
      <c r="B56" s="1">
        <f t="shared" si="12"/>
        <v>2400000</v>
      </c>
      <c r="C56" s="1">
        <f t="shared" si="13"/>
        <v>2400000</v>
      </c>
      <c r="D56" s="1">
        <f t="shared" si="14"/>
        <v>2400000</v>
      </c>
      <c r="E56" s="1">
        <f t="shared" si="15"/>
        <v>2400000</v>
      </c>
      <c r="F56" s="1">
        <f t="shared" si="16"/>
        <v>2400000</v>
      </c>
      <c r="G56" s="1"/>
      <c r="H56" s="1"/>
      <c r="I56" s="1"/>
    </row>
    <row r="57" spans="1:41" ht="15.75" x14ac:dyDescent="0.25">
      <c r="A57" s="7" t="s">
        <v>8</v>
      </c>
      <c r="B57" s="1">
        <f t="shared" si="12"/>
        <v>2400000</v>
      </c>
      <c r="C57" s="1">
        <f t="shared" si="13"/>
        <v>2400000</v>
      </c>
      <c r="D57" s="1">
        <f t="shared" si="14"/>
        <v>2400000</v>
      </c>
      <c r="E57" s="1">
        <f t="shared" si="15"/>
        <v>2400000</v>
      </c>
      <c r="F57" s="1">
        <f t="shared" si="16"/>
        <v>2400000</v>
      </c>
      <c r="G57" s="1"/>
      <c r="H57" s="1"/>
      <c r="I57" s="1"/>
    </row>
    <row r="58" spans="1:41" ht="15.75" x14ac:dyDescent="0.25">
      <c r="A58" s="12" t="s">
        <v>49</v>
      </c>
      <c r="B58" s="10">
        <f>B53+B54+B55+B56+B57</f>
        <v>18000000</v>
      </c>
      <c r="C58" s="10">
        <f t="shared" ref="C58:F58" si="17">C53+C54+C55+C56+C57</f>
        <v>18000000</v>
      </c>
      <c r="D58" s="10">
        <f t="shared" si="17"/>
        <v>21600000</v>
      </c>
      <c r="E58" s="10">
        <f t="shared" si="17"/>
        <v>28800000</v>
      </c>
      <c r="F58" s="10">
        <f t="shared" si="17"/>
        <v>36000000</v>
      </c>
      <c r="G58" s="1"/>
      <c r="H58" s="1"/>
      <c r="I58" s="1"/>
    </row>
    <row r="59" spans="1:41" ht="15.75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41" ht="15.75" x14ac:dyDescent="0.25">
      <c r="A60" s="1" t="s">
        <v>51</v>
      </c>
      <c r="B60" s="1"/>
      <c r="C60" s="1"/>
      <c r="D60" s="1"/>
      <c r="E60" s="1"/>
      <c r="F60" s="1"/>
      <c r="G60" s="1"/>
      <c r="H60" s="1"/>
      <c r="I60" s="1"/>
    </row>
    <row r="61" spans="1:41" ht="15.75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41" ht="15.75" x14ac:dyDescent="0.25">
      <c r="A62" s="1" t="s">
        <v>67</v>
      </c>
      <c r="B62" s="1" t="s">
        <v>16</v>
      </c>
      <c r="C62" s="1" t="s">
        <v>15</v>
      </c>
      <c r="D62" s="1" t="s">
        <v>17</v>
      </c>
      <c r="E62" s="1" t="s">
        <v>18</v>
      </c>
      <c r="F62" s="1" t="s">
        <v>19</v>
      </c>
      <c r="G62" s="1"/>
      <c r="H62" s="1"/>
      <c r="I62" s="1"/>
    </row>
    <row r="63" spans="1:41" ht="15.75" x14ac:dyDescent="0.25">
      <c r="A63" s="1" t="s">
        <v>52</v>
      </c>
      <c r="B63" s="1">
        <f>B35</f>
        <v>94850000</v>
      </c>
      <c r="C63" s="1">
        <f t="shared" ref="C63:F63" si="18">C35</f>
        <v>188810000</v>
      </c>
      <c r="D63" s="1">
        <f t="shared" si="18"/>
        <v>281890000</v>
      </c>
      <c r="E63" s="1">
        <f t="shared" si="18"/>
        <v>374110000</v>
      </c>
      <c r="F63" s="1">
        <f t="shared" si="18"/>
        <v>465500000</v>
      </c>
      <c r="G63" s="1"/>
      <c r="H63" s="1"/>
      <c r="I63" s="1"/>
    </row>
    <row r="64" spans="1:41" ht="15.75" x14ac:dyDescent="0.25">
      <c r="A64" s="1" t="s">
        <v>10</v>
      </c>
      <c r="B64" s="1">
        <v>10000000</v>
      </c>
      <c r="C64" s="1"/>
      <c r="D64" s="1"/>
      <c r="E64" s="1"/>
      <c r="F64" s="1"/>
      <c r="G64" s="1"/>
      <c r="H64" s="1"/>
      <c r="I64" s="1"/>
    </row>
    <row r="65" spans="1:9" ht="15.75" x14ac:dyDescent="0.25">
      <c r="A65" s="1" t="s">
        <v>53</v>
      </c>
      <c r="B65" s="1">
        <f>B63-B64</f>
        <v>84850000</v>
      </c>
      <c r="C65" s="1">
        <f t="shared" ref="C65:F65" si="19">C63-C64</f>
        <v>188810000</v>
      </c>
      <c r="D65" s="1">
        <f t="shared" si="19"/>
        <v>281890000</v>
      </c>
      <c r="E65" s="1">
        <f t="shared" si="19"/>
        <v>374110000</v>
      </c>
      <c r="F65" s="1">
        <f t="shared" si="19"/>
        <v>465500000</v>
      </c>
      <c r="G65" s="1"/>
      <c r="H65" s="1"/>
      <c r="I65" s="1"/>
    </row>
    <row r="66" spans="1:9" ht="15.75" x14ac:dyDescent="0.25">
      <c r="A66" s="1" t="s">
        <v>54</v>
      </c>
      <c r="B66" s="1"/>
      <c r="C66" s="1"/>
      <c r="D66" s="1"/>
      <c r="E66" s="1"/>
      <c r="F66" s="1"/>
      <c r="G66" s="1"/>
      <c r="H66" s="1"/>
      <c r="I66" s="1"/>
    </row>
    <row r="67" spans="1:9" ht="15.75" x14ac:dyDescent="0.25">
      <c r="A67" s="1" t="s">
        <v>55</v>
      </c>
      <c r="B67" s="1">
        <f>B58</f>
        <v>18000000</v>
      </c>
      <c r="C67" s="1">
        <f t="shared" ref="C67:F67" si="20">C58</f>
        <v>18000000</v>
      </c>
      <c r="D67" s="1">
        <f t="shared" si="20"/>
        <v>21600000</v>
      </c>
      <c r="E67" s="1">
        <f t="shared" si="20"/>
        <v>28800000</v>
      </c>
      <c r="F67" s="1">
        <f t="shared" si="20"/>
        <v>36000000</v>
      </c>
      <c r="G67" s="1"/>
      <c r="H67" s="1"/>
      <c r="I67" s="1"/>
    </row>
    <row r="68" spans="1:9" ht="15.75" x14ac:dyDescent="0.25">
      <c r="A68" s="1" t="s">
        <v>56</v>
      </c>
      <c r="B68" s="1">
        <f>B50</f>
        <v>0</v>
      </c>
      <c r="C68" s="1">
        <f t="shared" ref="C68:F68" si="21">C50</f>
        <v>0</v>
      </c>
      <c r="D68" s="1">
        <f t="shared" si="21"/>
        <v>660000</v>
      </c>
      <c r="E68" s="1">
        <f t="shared" si="21"/>
        <v>1004000</v>
      </c>
      <c r="F68" s="1">
        <f t="shared" si="21"/>
        <v>1348000</v>
      </c>
      <c r="G68" s="1"/>
      <c r="H68" s="1"/>
      <c r="I68" s="1"/>
    </row>
    <row r="69" spans="1:9" ht="15.75" x14ac:dyDescent="0.25">
      <c r="A69" s="1" t="s">
        <v>29</v>
      </c>
      <c r="B69" s="1">
        <f>B29</f>
        <v>0</v>
      </c>
      <c r="C69" s="1">
        <f t="shared" ref="C69:F69" si="22">C29</f>
        <v>0</v>
      </c>
      <c r="D69" s="1">
        <f t="shared" si="22"/>
        <v>1000000</v>
      </c>
      <c r="E69" s="1">
        <f t="shared" si="22"/>
        <v>1100000</v>
      </c>
      <c r="F69" s="1">
        <f t="shared" si="22"/>
        <v>1210000</v>
      </c>
      <c r="G69" s="1"/>
      <c r="H69" s="1"/>
      <c r="I69" s="1"/>
    </row>
    <row r="70" spans="1:9" ht="15.75" x14ac:dyDescent="0.25">
      <c r="A70" s="1" t="s">
        <v>57</v>
      </c>
      <c r="B70" s="1">
        <f>B27</f>
        <v>3000000</v>
      </c>
      <c r="C70" s="1">
        <f t="shared" ref="C70:F70" si="23">C27</f>
        <v>3294000.0000000005</v>
      </c>
      <c r="D70" s="1">
        <f t="shared" si="23"/>
        <v>2971188.0000000005</v>
      </c>
      <c r="E70" s="1">
        <f t="shared" si="23"/>
        <v>2680011.5760000004</v>
      </c>
      <c r="F70" s="1">
        <f t="shared" si="23"/>
        <v>2942652.7104480006</v>
      </c>
      <c r="G70" s="1"/>
      <c r="H70" s="1"/>
      <c r="I70" s="1"/>
    </row>
    <row r="71" spans="1:9" ht="15.75" x14ac:dyDescent="0.25">
      <c r="A71" s="6" t="s">
        <v>28</v>
      </c>
      <c r="B71" s="1">
        <f>B28</f>
        <v>15000000</v>
      </c>
      <c r="C71" s="1">
        <f t="shared" ref="C71:F71" si="24">C28</f>
        <v>16470000.000000002</v>
      </c>
      <c r="D71" s="1">
        <f t="shared" si="24"/>
        <v>18084060.000000004</v>
      </c>
      <c r="E71" s="1">
        <f t="shared" si="24"/>
        <v>19856297.880000006</v>
      </c>
      <c r="F71" s="1">
        <f t="shared" si="24"/>
        <v>21802215.07224001</v>
      </c>
      <c r="G71" s="1"/>
      <c r="H71" s="1"/>
      <c r="I71" s="1"/>
    </row>
    <row r="72" spans="1:9" ht="31.5" x14ac:dyDescent="0.25">
      <c r="A72" s="9" t="s">
        <v>58</v>
      </c>
      <c r="B72" s="1">
        <f>B30</f>
        <v>18000000</v>
      </c>
      <c r="C72" s="1">
        <f t="shared" ref="C72:F72" si="25">C30</f>
        <v>19764000.000000004</v>
      </c>
      <c r="D72" s="1">
        <f t="shared" si="25"/>
        <v>22055248.000000004</v>
      </c>
      <c r="E72" s="1">
        <f t="shared" si="25"/>
        <v>23636309.456000008</v>
      </c>
      <c r="F72" s="1">
        <f t="shared" si="25"/>
        <v>25954867.78268801</v>
      </c>
      <c r="G72" s="1"/>
      <c r="H72" s="1"/>
      <c r="I72" s="1"/>
    </row>
    <row r="73" spans="1:9" ht="15.75" x14ac:dyDescent="0.25">
      <c r="A73" s="1" t="s">
        <v>59</v>
      </c>
      <c r="B73" s="1">
        <f>B65-B72</f>
        <v>66850000</v>
      </c>
      <c r="C73" s="1">
        <f t="shared" ref="C73:F73" si="26">C65-C72</f>
        <v>169046000</v>
      </c>
      <c r="D73" s="1">
        <f t="shared" si="26"/>
        <v>259834752</v>
      </c>
      <c r="E73" s="1">
        <f t="shared" si="26"/>
        <v>350473690.54399997</v>
      </c>
      <c r="F73" s="1">
        <f t="shared" si="26"/>
        <v>439545132.21731198</v>
      </c>
      <c r="G73" s="1"/>
      <c r="H73" s="1"/>
      <c r="I73" s="1"/>
    </row>
    <row r="74" spans="1:9" ht="15.75" x14ac:dyDescent="0.25">
      <c r="A74" s="1" t="s">
        <v>60</v>
      </c>
      <c r="B74" s="1">
        <f>B73*0.2</f>
        <v>13370000</v>
      </c>
      <c r="C74" s="1">
        <f t="shared" ref="C74:F74" si="27">C73*0.2</f>
        <v>33809200</v>
      </c>
      <c r="D74" s="1">
        <f t="shared" si="27"/>
        <v>51966950.400000006</v>
      </c>
      <c r="E74" s="1">
        <f t="shared" si="27"/>
        <v>70094738.108799994</v>
      </c>
      <c r="F74" s="1">
        <f t="shared" si="27"/>
        <v>87909026.443462402</v>
      </c>
      <c r="G74" s="1"/>
      <c r="H74" s="1"/>
      <c r="I74" s="1"/>
    </row>
    <row r="75" spans="1:9" ht="15.75" x14ac:dyDescent="0.25">
      <c r="A75" s="1" t="s">
        <v>61</v>
      </c>
      <c r="B75" s="1">
        <f>B73-B74</f>
        <v>53480000</v>
      </c>
      <c r="C75" s="1">
        <f t="shared" ref="C75:F75" si="28">C73-C74</f>
        <v>135236800</v>
      </c>
      <c r="D75" s="1">
        <f t="shared" si="28"/>
        <v>207867801.59999999</v>
      </c>
      <c r="E75" s="1">
        <f t="shared" si="28"/>
        <v>280378952.43519998</v>
      </c>
      <c r="F75" s="1">
        <f t="shared" si="28"/>
        <v>351636105.77384961</v>
      </c>
      <c r="G75" s="1"/>
      <c r="H75" s="1"/>
      <c r="I75" s="1"/>
    </row>
    <row r="76" spans="1:9" ht="15.75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5.75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5.75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x14ac:dyDescent="0.25">
      <c r="A79" s="1"/>
      <c r="B79" s="1"/>
      <c r="C79" s="1"/>
      <c r="D79" s="1"/>
      <c r="E79" s="1"/>
      <c r="F79" s="1"/>
      <c r="G79" s="1"/>
      <c r="H79" s="1"/>
      <c r="I79" s="1"/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2025-03-31T18:39:06Z</dcterms:modified>
</cp:coreProperties>
</file>