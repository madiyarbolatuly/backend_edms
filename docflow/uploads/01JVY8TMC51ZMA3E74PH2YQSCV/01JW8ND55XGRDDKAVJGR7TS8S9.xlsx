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4" sheetId="2" r:id="rId5"/>
  </sheets>
  <definedNames/>
  <calcPr/>
</workbook>
</file>

<file path=xl/sharedStrings.xml><?xml version="1.0" encoding="utf-8"?>
<sst xmlns="http://schemas.openxmlformats.org/spreadsheetml/2006/main" count="220" uniqueCount="97">
  <si>
    <t xml:space="preserve"> </t>
  </si>
  <si>
    <t>Gulnur Askar, Madina Baimukhanova, Amina Bigabulova, Gaukhar Kakenova, Karina Orazbekova, Arailym Orynbassar, Asylzhan Seidgapbarova</t>
  </si>
  <si>
    <t>Equipment</t>
  </si>
  <si>
    <t>Price</t>
  </si>
  <si>
    <t>Camera</t>
  </si>
  <si>
    <t>HDD</t>
  </si>
  <si>
    <t>Microphone</t>
  </si>
  <si>
    <t>Board</t>
  </si>
  <si>
    <t>Lightning</t>
  </si>
  <si>
    <t>Total</t>
  </si>
  <si>
    <t>Total (in millions of ₸)</t>
  </si>
  <si>
    <t>Income Statement
(in millions of ₸)</t>
  </si>
  <si>
    <t>Year 0</t>
  </si>
  <si>
    <t>Year 1</t>
  </si>
  <si>
    <t>Year 2</t>
  </si>
  <si>
    <t>Year 3</t>
  </si>
  <si>
    <t>Year 4</t>
  </si>
  <si>
    <t>Year 5</t>
  </si>
  <si>
    <t>Revenues</t>
  </si>
  <si>
    <t>Coursera platform fee (50%)</t>
  </si>
  <si>
    <t>Payment to University (20%)</t>
  </si>
  <si>
    <t>Payment to Professors (10%)</t>
  </si>
  <si>
    <t>S&amp;A expenses</t>
  </si>
  <si>
    <t>Wage expense</t>
  </si>
  <si>
    <t>Advertising expense</t>
  </si>
  <si>
    <t xml:space="preserve">Other expenses </t>
  </si>
  <si>
    <t>Operating Expenses</t>
  </si>
  <si>
    <t>Total expenses</t>
  </si>
  <si>
    <t>Gross profit</t>
  </si>
  <si>
    <t>Depreciation</t>
  </si>
  <si>
    <t>EBIT</t>
  </si>
  <si>
    <t>Income tax (10%)</t>
  </si>
  <si>
    <t>Unlevered Net Income</t>
  </si>
  <si>
    <t>Growth Rate (%)</t>
  </si>
  <si>
    <t>Free Cash Flow adjustments</t>
  </si>
  <si>
    <t>Add: Depreciation</t>
  </si>
  <si>
    <t>Less: Capex</t>
  </si>
  <si>
    <t>Less: Change in NWC</t>
  </si>
  <si>
    <t>Free Cash Flow</t>
  </si>
  <si>
    <t>Terminal Value</t>
  </si>
  <si>
    <t>FCF with TV</t>
  </si>
  <si>
    <t>DCF</t>
  </si>
  <si>
    <t>NPV</t>
  </si>
  <si>
    <t>IRR</t>
  </si>
  <si>
    <t>Cumulative CF</t>
  </si>
  <si>
    <t>Payback period</t>
  </si>
  <si>
    <t>Employee Type</t>
  </si>
  <si>
    <t># (1st Year)</t>
  </si>
  <si>
    <t>Salary (KZT)</t>
  </si>
  <si>
    <t>Wage Expenses</t>
  </si>
  <si>
    <t>Hired Videographer and Editor</t>
  </si>
  <si>
    <t>Production Manager</t>
  </si>
  <si>
    <t xml:space="preserve">Course material Manager </t>
  </si>
  <si>
    <t xml:space="preserve">Accountant </t>
  </si>
  <si>
    <t xml:space="preserve">Marketing expert </t>
  </si>
  <si>
    <t>Communications Specialist</t>
  </si>
  <si>
    <t>Translator</t>
  </si>
  <si>
    <t>Total (₸ per month):</t>
  </si>
  <si>
    <t>Total (₸ per year):</t>
  </si>
  <si>
    <t>ADDITIONAL HIRES</t>
  </si>
  <si>
    <t>2nd Year (Salary Increase)</t>
  </si>
  <si>
    <t>3rd Year (Salary Increase)</t>
  </si>
  <si>
    <t>4th Year (Salary Increase)</t>
  </si>
  <si>
    <t>5th Year (Salary Increase)</t>
  </si>
  <si>
    <t>#</t>
  </si>
  <si>
    <t># (+2 Worker)</t>
  </si>
  <si>
    <t>Fixed Course Price (in $)</t>
  </si>
  <si>
    <t>Price (in ₸)</t>
  </si>
  <si>
    <t>Assumptions</t>
  </si>
  <si>
    <t xml:space="preserve">Equipment </t>
  </si>
  <si>
    <t>Inflation Rate</t>
  </si>
  <si>
    <t>https://stat.gov.kz/en/industries/economy/prices/publications/67930/</t>
  </si>
  <si>
    <t>Wage increase rate</t>
  </si>
  <si>
    <t>Initial investment (in ₸)</t>
  </si>
  <si>
    <t>Income tax</t>
  </si>
  <si>
    <t>https://egov.kz/cms/en/articles/tax_payment/2Ftax_rate2014</t>
  </si>
  <si>
    <t xml:space="preserve">Student Age Group
Number </t>
  </si>
  <si>
    <t>https://shorturl.at/gmpP2</t>
  </si>
  <si>
    <t xml:space="preserve">Middle and Upper Class in Kz </t>
  </si>
  <si>
    <t>15-16%</t>
  </si>
  <si>
    <t>https://www.files.ethz.ch/isn/48483/31_Kazakhstan%20middle%20class.pdf</t>
  </si>
  <si>
    <t xml:space="preserve">Coursera Payment Rate </t>
  </si>
  <si>
    <t>https://elitecontentmarketer.com/online-education-stats/</t>
  </si>
  <si>
    <t>Estimated number of customers</t>
  </si>
  <si>
    <t>Sum of all estimated customers</t>
  </si>
  <si>
    <t>Market size (in USD)</t>
  </si>
  <si>
    <t>Expected sales (customers)</t>
  </si>
  <si>
    <t>Coursera growth of users rate 
for KZ (23%)</t>
  </si>
  <si>
    <t>https://about.coursera.org/press/wp-content/uploads/2021/11/2021-Coursera-Impact-Report.pdf</t>
  </si>
  <si>
    <t>Price for each course (in ₸)</t>
  </si>
  <si>
    <t>Cost of Capital</t>
  </si>
  <si>
    <t>Growth rate for Terminal Value</t>
  </si>
  <si>
    <t>NU courses on Coursera</t>
  </si>
  <si>
    <t>Total in millions of ₸</t>
  </si>
  <si>
    <t>Growth Rate(%)</t>
  </si>
  <si>
    <t>Less: change in NWC</t>
  </si>
  <si>
    <t>Expected Sales (people)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</si>
</sst>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£-809]#,##0.00"/>
    <numFmt numFmtId="165" formatCode="#,##0.00[$₸]"/>
    <numFmt numFmtId="166" formatCode="[$₸]#,##0.00"/>
  </numFmts>
  <fonts count="11">
    <font>
      <sz val="10.0"/>
      <color rgb="FF000000"/>
      <name val="Arial"/>
      <scheme val="minor"/>
    </font>
    <font>
      <sz val="12.0"/>
      <color theme="1"/>
      <name val="Times New Roman"/>
    </font>
    <font>
      <sz val="12.0"/>
      <color rgb="FF000000"/>
      <name val="Times New Roman"/>
    </font>
    <font>
      <sz val="12.0"/>
      <color rgb="FFFF0000"/>
      <name val="Times New Roman"/>
    </font>
    <font>
      <sz val="12.0"/>
      <color rgb="FFEA4335"/>
      <name val="Times New Roman"/>
    </font>
    <font>
      <u/>
      <sz val="12.0"/>
      <color rgb="FF0000FF"/>
      <name val="Times New Roman"/>
    </font>
    <font>
      <color theme="1"/>
      <name val="Arial"/>
    </font>
    <font>
      <color rgb="FF000000"/>
      <name val="Arial"/>
    </font>
    <font>
      <sz val="10.0"/>
      <color rgb="FF000000"/>
      <name val="Arial"/>
    </font>
    <font>
      <color rgb="FFEA4335"/>
      <name val="Arial"/>
    </font>
    <font>
      <u/>
      <color rgb="FF0000FF"/>
    </font>
  </fonts>
  <fills count="9">
    <fill>
      <patternFill patternType="none"/>
    </fill>
    <fill>
      <patternFill patternType="lightGray"/>
    </fill>
    <fill>
      <patternFill patternType="solid">
        <fgColor rgb="FFFCE8B2"/>
        <bgColor rgb="FFFCE8B2"/>
      </patternFill>
    </fill>
    <fill>
      <patternFill patternType="solid">
        <fgColor rgb="FFB7E1CD"/>
        <bgColor rgb="FFB7E1CD"/>
      </patternFill>
    </fill>
    <fill>
      <patternFill patternType="solid">
        <fgColor rgb="FFFFFFFF"/>
        <bgColor rgb="FFFFFFFF"/>
      </patternFill>
    </fill>
    <fill>
      <patternFill patternType="solid">
        <fgColor rgb="FFD0CDFF"/>
        <bgColor rgb="FFD0CDFF"/>
      </patternFill>
    </fill>
    <fill>
      <patternFill patternType="solid">
        <fgColor rgb="FFFFF2CC"/>
        <bgColor rgb="FFFFF2CC"/>
      </patternFill>
    </fill>
    <fill>
      <patternFill patternType="solid">
        <fgColor theme="0"/>
        <bgColor theme="0"/>
      </patternFill>
    </fill>
    <fill>
      <patternFill patternType="solid">
        <fgColor rgb="FFCCEEEE"/>
        <bgColor rgb="FFCCEEEE"/>
      </patternFill>
    </fill>
  </fills>
  <borders count="1">
    <border/>
  </borders>
  <cellStyleXfs count="1">
    <xf borderId="0" fillId="0" fontId="0" numFmtId="0" applyAlignment="1" applyFont="1"/>
  </cellStyleXfs>
  <cellXfs count="11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vertical="center"/>
    </xf>
    <xf borderId="0" fillId="2" fontId="1" numFmtId="0" xfId="0" applyFill="1" applyFont="1"/>
    <xf borderId="0" fillId="3" fontId="1" numFmtId="164" xfId="0" applyFill="1" applyFont="1" applyNumberFormat="1"/>
    <xf borderId="0" fillId="4" fontId="1" numFmtId="0" xfId="0" applyFill="1" applyFont="1"/>
    <xf borderId="0" fillId="4" fontId="1" numFmtId="2" xfId="0" applyFont="1" applyNumberFormat="1"/>
    <xf borderId="0" fillId="0" fontId="1" numFmtId="2" xfId="0" applyFont="1" applyNumberFormat="1"/>
    <xf borderId="0" fillId="5" fontId="2" numFmtId="0" xfId="0" applyAlignment="1" applyFill="1" applyFont="1">
      <alignment shrinkToFit="0" vertical="bottom" wrapText="0"/>
    </xf>
    <xf borderId="0" fillId="0" fontId="3" numFmtId="2" xfId="0" applyFont="1" applyNumberFormat="1"/>
    <xf borderId="0" fillId="0" fontId="2" numFmtId="0" xfId="0" applyAlignment="1" applyFont="1">
      <alignment shrinkToFit="0" vertical="bottom" wrapText="0"/>
    </xf>
    <xf borderId="0" fillId="5" fontId="1" numFmtId="0" xfId="0" applyFont="1"/>
    <xf borderId="0" fillId="2" fontId="2" numFmtId="0" xfId="0" applyAlignment="1" applyFont="1">
      <alignment horizontal="left" shrinkToFit="0" vertical="bottom" wrapText="0"/>
    </xf>
    <xf borderId="0" fillId="3" fontId="2" numFmtId="0" xfId="0" applyAlignment="1" applyFont="1">
      <alignment horizontal="right"/>
    </xf>
    <xf borderId="0" fillId="0" fontId="2" numFmtId="2" xfId="0" applyAlignment="1" applyFont="1" applyNumberFormat="1">
      <alignment horizontal="right" shrinkToFit="0" vertical="bottom" wrapText="0"/>
    </xf>
    <xf borderId="0" fillId="4" fontId="2" numFmtId="0" xfId="0" applyAlignment="1" applyFont="1">
      <alignment shrinkToFit="0" vertical="bottom" wrapText="0"/>
    </xf>
    <xf borderId="0" fillId="0" fontId="1" numFmtId="0" xfId="0" applyAlignment="1" applyFont="1">
      <alignment horizontal="center"/>
    </xf>
    <xf borderId="0" fillId="6" fontId="2" numFmtId="0" xfId="0" applyAlignment="1" applyFill="1" applyFont="1">
      <alignment shrinkToFit="0" vertical="bottom" wrapText="0"/>
    </xf>
    <xf borderId="0" fillId="4" fontId="2" numFmtId="0" xfId="0" applyAlignment="1" applyFont="1">
      <alignment horizontal="right" shrinkToFit="0" vertical="bottom" wrapText="0"/>
    </xf>
    <xf borderId="0" fillId="4" fontId="2" numFmtId="2" xfId="0" applyAlignment="1" applyFont="1" applyNumberFormat="1">
      <alignment horizontal="right" shrinkToFit="0" vertical="bottom" wrapText="0"/>
    </xf>
    <xf borderId="0" fillId="0" fontId="2" numFmtId="2" xfId="0" applyFont="1" applyNumberFormat="1"/>
    <xf borderId="0" fillId="3" fontId="2" numFmtId="0" xfId="0" applyAlignment="1" applyFont="1">
      <alignment shrinkToFit="0" vertical="bottom" wrapText="0"/>
    </xf>
    <xf borderId="0" fillId="0" fontId="2" numFmtId="0" xfId="0" applyAlignment="1" applyFont="1">
      <alignment horizontal="right" shrinkToFit="0" vertical="bottom" wrapText="0"/>
    </xf>
    <xf borderId="0" fillId="7" fontId="2" numFmtId="0" xfId="0" applyAlignment="1" applyFill="1" applyFont="1">
      <alignment shrinkToFit="0" vertical="bottom" wrapText="0"/>
    </xf>
    <xf borderId="0" fillId="0" fontId="3" numFmtId="2" xfId="0" applyAlignment="1" applyFont="1" applyNumberFormat="1">
      <alignment horizontal="right" shrinkToFit="0" vertical="bottom" wrapText="0"/>
    </xf>
    <xf borderId="0" fillId="0" fontId="2" numFmtId="9" xfId="0" applyAlignment="1" applyFont="1" applyNumberFormat="1">
      <alignment horizontal="right" shrinkToFit="0" vertical="bottom" wrapText="0"/>
    </xf>
    <xf borderId="0" fillId="2" fontId="1" numFmtId="2" xfId="0" applyFont="1" applyNumberFormat="1"/>
    <xf borderId="0" fillId="3" fontId="2" numFmtId="2" xfId="0" applyAlignment="1" applyFont="1" applyNumberFormat="1">
      <alignment horizontal="right" shrinkToFit="0" vertical="bottom" wrapText="0"/>
    </xf>
    <xf borderId="0" fillId="5" fontId="1" numFmtId="2" xfId="0" applyFont="1" applyNumberFormat="1"/>
    <xf borderId="0" fillId="4" fontId="2" numFmtId="2" xfId="0" applyFont="1" applyNumberFormat="1"/>
    <xf borderId="0" fillId="3" fontId="2" numFmtId="2" xfId="0" applyAlignment="1" applyFont="1" applyNumberFormat="1">
      <alignment shrinkToFit="0" vertical="bottom" wrapText="0"/>
    </xf>
    <xf borderId="0" fillId="0" fontId="3" numFmtId="10" xfId="0" applyAlignment="1" applyFont="1" applyNumberFormat="1">
      <alignment shrinkToFit="0" vertical="bottom" wrapText="0"/>
    </xf>
    <xf borderId="0" fillId="0" fontId="2" numFmtId="2" xfId="0" applyAlignment="1" applyFont="1" applyNumberFormat="1">
      <alignment shrinkToFit="0" vertical="bottom" wrapText="0"/>
    </xf>
    <xf borderId="0" fillId="5" fontId="2" numFmtId="2" xfId="0" applyAlignment="1" applyFont="1" applyNumberFormat="1">
      <alignment shrinkToFit="0" vertical="bottom" wrapText="0"/>
    </xf>
    <xf borderId="0" fillId="0" fontId="3" numFmtId="2" xfId="0" applyAlignment="1" applyFont="1" applyNumberFormat="1">
      <alignment shrinkToFit="0" vertical="bottom" wrapText="0"/>
    </xf>
    <xf borderId="0" fillId="2" fontId="2" numFmtId="0" xfId="0" applyAlignment="1" applyFont="1">
      <alignment horizontal="center" shrinkToFit="0" vertical="bottom" wrapText="0"/>
    </xf>
    <xf borderId="0" fillId="3" fontId="2" numFmtId="0" xfId="0" applyAlignment="1" applyFont="1">
      <alignment horizontal="center" shrinkToFit="0" vertical="bottom" wrapText="0"/>
    </xf>
    <xf borderId="0" fillId="0" fontId="2" numFmtId="0" xfId="0" applyAlignment="1" applyFont="1">
      <alignment horizontal="center" shrinkToFit="0" vertical="bottom" wrapText="0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right" shrinkToFit="0" vertical="bottom" wrapText="0"/>
    </xf>
    <xf borderId="0" fillId="5" fontId="4" numFmtId="0" xfId="0" applyAlignment="1" applyFont="1">
      <alignment shrinkToFit="0" vertical="bottom" wrapText="0"/>
    </xf>
    <xf borderId="0" fillId="4" fontId="4" numFmtId="2" xfId="0" applyAlignment="1" applyFont="1" applyNumberFormat="1">
      <alignment horizontal="right" shrinkToFit="0" vertical="bottom" wrapText="0"/>
    </xf>
    <xf borderId="0" fillId="0" fontId="2" numFmtId="0" xfId="0" applyAlignment="1" applyFont="1">
      <alignment shrinkToFit="0" vertical="bottom" wrapText="1"/>
    </xf>
    <xf borderId="0" fillId="0" fontId="2" numFmtId="2" xfId="0" applyAlignment="1" applyFont="1" applyNumberFormat="1">
      <alignment horizontal="right" shrinkToFit="0" vertical="bottom" wrapText="1"/>
    </xf>
    <xf borderId="0" fillId="0" fontId="1" numFmtId="0" xfId="0" applyAlignment="1" applyFont="1">
      <alignment shrinkToFit="0" wrapText="1"/>
    </xf>
    <xf borderId="0" fillId="2" fontId="2" numFmtId="0" xfId="0" applyAlignment="1" applyFont="1">
      <alignment vertical="bottom"/>
    </xf>
    <xf borderId="0" fillId="3" fontId="2" numFmtId="0" xfId="0" applyAlignment="1" applyFont="1">
      <alignment vertical="bottom"/>
    </xf>
    <xf borderId="0" fillId="5" fontId="2" numFmtId="0" xfId="0" applyAlignment="1" applyFont="1">
      <alignment horizontal="center" shrinkToFit="0" vertical="bottom" wrapText="0"/>
    </xf>
    <xf borderId="0" fillId="5" fontId="2" numFmtId="0" xfId="0" applyAlignment="1" applyFont="1">
      <alignment horizontal="center" vertical="bottom"/>
    </xf>
    <xf borderId="0" fillId="0" fontId="1" numFmtId="0" xfId="0" applyAlignment="1" applyFont="1">
      <alignment horizontal="right" vertical="bottom"/>
    </xf>
    <xf borderId="0" fillId="2" fontId="1" numFmtId="0" xfId="0" applyAlignment="1" applyFont="1">
      <alignment horizontal="left"/>
    </xf>
    <xf borderId="0" fillId="3" fontId="1" numFmtId="0" xfId="0" applyAlignment="1" applyFont="1">
      <alignment horizontal="left"/>
    </xf>
    <xf borderId="0" fillId="0" fontId="1" numFmtId="0" xfId="0" applyAlignment="1" applyFont="1">
      <alignment horizontal="right"/>
    </xf>
    <xf borderId="0" fillId="0" fontId="1" numFmtId="2" xfId="0" applyAlignment="1" applyFont="1" applyNumberFormat="1">
      <alignment horizontal="right" vertical="center"/>
    </xf>
    <xf borderId="0" fillId="0" fontId="2" numFmtId="3" xfId="0" applyAlignment="1" applyFont="1" applyNumberFormat="1">
      <alignment horizontal="right" shrinkToFit="0" vertical="bottom" wrapText="0"/>
    </xf>
    <xf borderId="0" fillId="0" fontId="5" numFmtId="0" xfId="0" applyFont="1"/>
    <xf borderId="0" fillId="0" fontId="1" numFmtId="0" xfId="0" applyAlignment="1" applyFont="1">
      <alignment vertical="bottom"/>
    </xf>
    <xf borderId="0" fillId="0" fontId="1" numFmtId="9" xfId="0" applyAlignment="1" applyFont="1" applyNumberFormat="1">
      <alignment horizontal="right" vertical="bottom"/>
    </xf>
    <xf borderId="0" fillId="4" fontId="2" numFmtId="0" xfId="0" applyAlignment="1" applyFont="1">
      <alignment horizontal="left"/>
    </xf>
    <xf borderId="0" fillId="0" fontId="1" numFmtId="1" xfId="0" applyAlignment="1" applyFont="1" applyNumberFormat="1">
      <alignment horizontal="right"/>
    </xf>
    <xf borderId="0" fillId="0" fontId="1" numFmtId="1" xfId="0" applyFont="1" applyNumberFormat="1"/>
    <xf borderId="0" fillId="4" fontId="2" numFmtId="1" xfId="0" applyFont="1" applyNumberFormat="1"/>
    <xf borderId="0" fillId="0" fontId="1" numFmtId="164" xfId="0" applyAlignment="1" applyFont="1" applyNumberFormat="1">
      <alignment horizontal="right" vertical="bottom"/>
    </xf>
    <xf borderId="0" fillId="0" fontId="1" numFmtId="0" xfId="0" applyAlignment="1" applyFont="1">
      <alignment shrinkToFit="0" vertical="bottom" wrapText="1"/>
    </xf>
    <xf borderId="0" fillId="0" fontId="1" numFmtId="1" xfId="0" applyAlignment="1" applyFont="1" applyNumberFormat="1">
      <alignment horizontal="right" vertical="bottom"/>
    </xf>
    <xf borderId="0" fillId="0" fontId="1" numFmtId="9" xfId="0" applyFont="1" applyNumberFormat="1"/>
    <xf borderId="0" fillId="0" fontId="6" numFmtId="0" xfId="0" applyFont="1"/>
    <xf borderId="0" fillId="0" fontId="6" numFmtId="0" xfId="0" applyAlignment="1" applyFont="1">
      <alignment vertical="center"/>
    </xf>
    <xf borderId="0" fillId="2" fontId="6" numFmtId="0" xfId="0" applyFont="1"/>
    <xf borderId="0" fillId="3" fontId="6" numFmtId="0" xfId="0" applyFont="1"/>
    <xf borderId="0" fillId="4" fontId="6" numFmtId="0" xfId="0" applyFont="1"/>
    <xf borderId="0" fillId="4" fontId="6" numFmtId="2" xfId="0" applyFont="1" applyNumberFormat="1"/>
    <xf borderId="0" fillId="0" fontId="6" numFmtId="2" xfId="0" applyFont="1" applyNumberFormat="1"/>
    <xf borderId="0" fillId="5" fontId="7" numFmtId="0" xfId="0" applyAlignment="1" applyFont="1">
      <alignment shrinkToFit="0" vertical="bottom" wrapText="0"/>
    </xf>
    <xf borderId="0" fillId="0" fontId="7" numFmtId="0" xfId="0" applyAlignment="1" applyFont="1">
      <alignment shrinkToFit="0" vertical="bottom" wrapText="0"/>
    </xf>
    <xf borderId="0" fillId="2" fontId="7" numFmtId="0" xfId="0" applyAlignment="1" applyFont="1">
      <alignment horizontal="left" shrinkToFit="0" vertical="bottom" wrapText="0"/>
    </xf>
    <xf borderId="0" fillId="3" fontId="7" numFmtId="0" xfId="0" applyAlignment="1" applyFont="1">
      <alignment horizontal="right"/>
    </xf>
    <xf borderId="0" fillId="0" fontId="7" numFmtId="2" xfId="0" applyAlignment="1" applyFont="1" applyNumberFormat="1">
      <alignment horizontal="right" shrinkToFit="0" vertical="bottom" wrapText="0"/>
    </xf>
    <xf borderId="0" fillId="8" fontId="7" numFmtId="0" xfId="0" applyAlignment="1" applyFill="1" applyFont="1">
      <alignment shrinkToFit="0" vertical="bottom" wrapText="0"/>
    </xf>
    <xf borderId="0" fillId="0" fontId="6" numFmtId="0" xfId="0" applyAlignment="1" applyFont="1">
      <alignment horizontal="center"/>
    </xf>
    <xf borderId="0" fillId="0" fontId="7" numFmtId="0" xfId="0" applyAlignment="1" applyFont="1">
      <alignment horizontal="right" shrinkToFit="0" vertical="bottom" wrapText="0"/>
    </xf>
    <xf borderId="0" fillId="0" fontId="7" numFmtId="9" xfId="0" applyAlignment="1" applyFont="1" applyNumberFormat="1">
      <alignment horizontal="right" shrinkToFit="0" vertical="bottom" wrapText="0"/>
    </xf>
    <xf borderId="0" fillId="0" fontId="6" numFmtId="165" xfId="0" applyFont="1" applyNumberFormat="1"/>
    <xf borderId="0" fillId="0" fontId="7" numFmtId="0" xfId="0" applyFont="1"/>
    <xf borderId="0" fillId="0" fontId="7" numFmtId="2" xfId="0" applyFont="1" applyNumberFormat="1"/>
    <xf borderId="0" fillId="0" fontId="8" numFmtId="2" xfId="0" applyFont="1" applyNumberFormat="1"/>
    <xf borderId="0" fillId="4" fontId="8" numFmtId="2" xfId="0" applyFont="1" applyNumberFormat="1"/>
    <xf borderId="0" fillId="0" fontId="6" numFmtId="166" xfId="0" applyFont="1" applyNumberFormat="1"/>
    <xf borderId="0" fillId="0" fontId="7" numFmtId="10" xfId="0" applyAlignment="1" applyFont="1" applyNumberFormat="1">
      <alignment shrinkToFit="0" vertical="bottom" wrapText="0"/>
    </xf>
    <xf borderId="0" fillId="0" fontId="7" numFmtId="2" xfId="0" applyAlignment="1" applyFont="1" applyNumberFormat="1">
      <alignment shrinkToFit="0" vertical="bottom" wrapText="0"/>
    </xf>
    <xf borderId="0" fillId="5" fontId="7" numFmtId="0" xfId="0" applyAlignment="1" applyFont="1">
      <alignment horizontal="center" shrinkToFit="0" vertical="bottom" wrapText="0"/>
    </xf>
    <xf borderId="0" fillId="0" fontId="7" numFmtId="0" xfId="0" applyAlignment="1" applyFont="1">
      <alignment horizontal="center" shrinkToFit="0" vertical="bottom" wrapText="0"/>
    </xf>
    <xf borderId="0" fillId="0" fontId="7" numFmtId="0" xfId="0" applyAlignment="1" applyFont="1">
      <alignment horizontal="center" vertical="bottom"/>
    </xf>
    <xf borderId="0" fillId="0" fontId="7" numFmtId="0" xfId="0" applyAlignment="1" applyFont="1">
      <alignment vertical="bottom"/>
    </xf>
    <xf borderId="0" fillId="0" fontId="9" numFmtId="0" xfId="0" applyAlignment="1" applyFont="1">
      <alignment vertical="bottom"/>
    </xf>
    <xf borderId="0" fillId="0" fontId="9" numFmtId="0" xfId="0" applyAlignment="1" applyFont="1">
      <alignment horizontal="right" shrinkToFit="0" vertical="bottom" wrapText="0"/>
    </xf>
    <xf borderId="0" fillId="5" fontId="9" numFmtId="0" xfId="0" applyAlignment="1" applyFont="1">
      <alignment shrinkToFit="0" vertical="bottom" wrapText="0"/>
    </xf>
    <xf borderId="0" fillId="4" fontId="9" numFmtId="2" xfId="0" applyAlignment="1" applyFont="1" applyNumberFormat="1">
      <alignment horizontal="right" shrinkToFit="0" vertical="bottom" wrapText="0"/>
    </xf>
    <xf borderId="0" fillId="2" fontId="7" numFmtId="0" xfId="0" applyAlignment="1" applyFont="1">
      <alignment vertical="bottom"/>
    </xf>
    <xf borderId="0" fillId="3" fontId="7" numFmtId="0" xfId="0" applyAlignment="1" applyFont="1">
      <alignment shrinkToFit="0" vertical="bottom" wrapText="0"/>
    </xf>
    <xf borderId="0" fillId="3" fontId="7" numFmtId="0" xfId="0" applyAlignment="1" applyFont="1">
      <alignment vertical="bottom"/>
    </xf>
    <xf borderId="0" fillId="5" fontId="7" numFmtId="0" xfId="0" applyAlignment="1" applyFont="1">
      <alignment horizontal="center" vertical="bottom"/>
    </xf>
    <xf borderId="0" fillId="0" fontId="6" numFmtId="0" xfId="0" applyAlignment="1" applyFont="1">
      <alignment horizontal="center" vertical="bottom"/>
    </xf>
    <xf borderId="0" fillId="0" fontId="6" numFmtId="0" xfId="0" applyAlignment="1" applyFont="1">
      <alignment horizontal="right" vertical="bottom"/>
    </xf>
    <xf borderId="0" fillId="5" fontId="6" numFmtId="0" xfId="0" applyAlignment="1" applyFont="1">
      <alignment horizontal="left"/>
    </xf>
    <xf borderId="0" fillId="0" fontId="6" numFmtId="0" xfId="0" applyAlignment="1" applyFont="1">
      <alignment horizontal="right"/>
    </xf>
    <xf borderId="0" fillId="0" fontId="6" numFmtId="2" xfId="0" applyAlignment="1" applyFont="1" applyNumberFormat="1">
      <alignment horizontal="right" vertical="center"/>
    </xf>
    <xf borderId="0" fillId="0" fontId="7" numFmtId="3" xfId="0" applyAlignment="1" applyFont="1" applyNumberFormat="1">
      <alignment horizontal="right" shrinkToFit="0" vertical="bottom" wrapText="0"/>
    </xf>
    <xf borderId="0" fillId="0" fontId="10" numFmtId="0" xfId="0" applyFont="1"/>
    <xf borderId="0" fillId="0" fontId="6" numFmtId="0" xfId="0" applyAlignment="1" applyFont="1">
      <alignment vertical="bottom"/>
    </xf>
    <xf borderId="0" fillId="0" fontId="6" numFmtId="9" xfId="0" applyAlignment="1" applyFont="1" applyNumberFormat="1">
      <alignment horizontal="right" vertical="bottom"/>
    </xf>
    <xf borderId="0" fillId="0" fontId="6" numFmtId="1" xfId="0" applyAlignment="1" applyFont="1" applyNumberFormat="1">
      <alignment horizontal="right"/>
    </xf>
    <xf borderId="0" fillId="0" fontId="6" numFmtId="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stat.gov.kz/en/industries/economy/prices/publications/67930/" TargetMode="External"/><Relationship Id="rId2" Type="http://schemas.openxmlformats.org/officeDocument/2006/relationships/hyperlink" Target="https://egov.kz/cms/en/articles/tax_payment/2Ftax_rate2014" TargetMode="External"/><Relationship Id="rId3" Type="http://schemas.openxmlformats.org/officeDocument/2006/relationships/hyperlink" Target="https://shorturl.at/gmpP2" TargetMode="External"/><Relationship Id="rId4" Type="http://schemas.openxmlformats.org/officeDocument/2006/relationships/hyperlink" Target="https://www.files.ethz.ch/isn/48483/31_Kazakhstan%20middle%20class.pdf" TargetMode="External"/><Relationship Id="rId5" Type="http://schemas.openxmlformats.org/officeDocument/2006/relationships/hyperlink" Target="https://elitecontentmarketer.com/online-education-stats/" TargetMode="External"/><Relationship Id="rId6" Type="http://schemas.openxmlformats.org/officeDocument/2006/relationships/hyperlink" Target="https://about.coursera.org/press/wp-content/uploads/2021/11/2021-Coursera-Impact-Report.pdf" TargetMode="External"/><Relationship Id="rId7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stat.gov.kz/en/industries/economy/prices/publications/67930/" TargetMode="External"/><Relationship Id="rId2" Type="http://schemas.openxmlformats.org/officeDocument/2006/relationships/hyperlink" Target="https://egov.kz/cms/en/articles/tax_payment/2Ftax_rate2014" TargetMode="External"/><Relationship Id="rId3" Type="http://schemas.openxmlformats.org/officeDocument/2006/relationships/hyperlink" Target="https://shorturl.at/gmpP2" TargetMode="External"/><Relationship Id="rId4" Type="http://schemas.openxmlformats.org/officeDocument/2006/relationships/hyperlink" Target="https://www.files.ethz.ch/isn/48483/31_Kazakhstan%20middle%20class.pdf" TargetMode="External"/><Relationship Id="rId5" Type="http://schemas.openxmlformats.org/officeDocument/2006/relationships/hyperlink" Target="https://elitecontentmarketer.com/online-education-stats/" TargetMode="External"/><Relationship Id="rId6" Type="http://schemas.openxmlformats.org/officeDocument/2006/relationships/hyperlink" Target="https://about.coursera.org/press/wp-content/uploads/2021/11/2021-Coursera-Impact-Report.pdf" TargetMode="External"/><Relationship Id="rId7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26.5"/>
    <col customWidth="1" min="2" max="2" width="22.75"/>
    <col customWidth="1" min="3" max="3" width="22.38"/>
    <col customWidth="1" min="4" max="4" width="22.25"/>
    <col customWidth="1" min="5" max="5" width="22.63"/>
    <col customWidth="1" min="6" max="6" width="22.25"/>
    <col customWidth="1" min="7" max="7" width="22.88"/>
    <col customWidth="1" min="8" max="8" width="22.38"/>
    <col customWidth="1" min="9" max="9" width="26.13"/>
    <col customWidth="1" min="10" max="10" width="22.75"/>
  </cols>
  <sheetData>
    <row r="1" ht="15.75" customHeight="1">
      <c r="A1" s="1" t="s">
        <v>0</v>
      </c>
      <c r="B1" s="2"/>
      <c r="C1" s="2" t="s">
        <v>1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3" t="s">
        <v>2</v>
      </c>
      <c r="B3" s="4" t="s">
        <v>3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5" t="s">
        <v>4</v>
      </c>
      <c r="B4" s="6">
        <v>1000000.0</v>
      </c>
      <c r="C4" s="1"/>
      <c r="D4" s="1"/>
      <c r="E4" s="1"/>
      <c r="F4" s="1"/>
      <c r="G4" s="1"/>
      <c r="H4" s="1"/>
      <c r="I4" s="1"/>
      <c r="J4" s="5"/>
      <c r="K4" s="6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75" customHeight="1">
      <c r="A5" s="1" t="s">
        <v>5</v>
      </c>
      <c r="B5" s="7">
        <v>30000.0</v>
      </c>
      <c r="C5" s="1"/>
      <c r="D5" s="1"/>
      <c r="E5" s="7"/>
      <c r="F5" s="7"/>
      <c r="G5" s="7"/>
      <c r="H5" s="7"/>
      <c r="I5" s="1"/>
      <c r="J5" s="1"/>
      <c r="K5" s="7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1" t="s">
        <v>6</v>
      </c>
      <c r="B6" s="7">
        <v>100000.0</v>
      </c>
      <c r="C6" s="1"/>
      <c r="D6" s="1"/>
      <c r="E6" s="7"/>
      <c r="F6" s="1"/>
      <c r="G6" s="1"/>
      <c r="H6" s="1"/>
      <c r="I6" s="1"/>
      <c r="J6" s="1"/>
      <c r="K6" s="7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1" t="s">
        <v>7</v>
      </c>
      <c r="B7" s="7">
        <v>70000.0</v>
      </c>
      <c r="C7" s="1"/>
      <c r="D7" s="1"/>
      <c r="E7" s="1"/>
      <c r="F7" s="1"/>
      <c r="G7" s="1"/>
      <c r="H7" s="1"/>
      <c r="I7" s="1"/>
      <c r="J7" s="1"/>
      <c r="K7" s="7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1" t="s">
        <v>8</v>
      </c>
      <c r="B8" s="7">
        <v>100000.0</v>
      </c>
      <c r="C8" s="1"/>
      <c r="D8" s="1"/>
      <c r="E8" s="1"/>
      <c r="F8" s="1"/>
      <c r="G8" s="1"/>
      <c r="H8" s="1"/>
      <c r="I8" s="1"/>
      <c r="J8" s="1"/>
      <c r="K8" s="7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75" customHeight="1">
      <c r="A10" s="8" t="s">
        <v>9</v>
      </c>
      <c r="B10" s="9">
        <f>SUM(B4+B5+B6+B7+B8)</f>
        <v>1300000</v>
      </c>
      <c r="C10" s="1"/>
      <c r="D10" s="1"/>
      <c r="E10" s="1"/>
      <c r="F10" s="1"/>
      <c r="G10" s="1"/>
      <c r="H10" s="1"/>
      <c r="I10" s="1"/>
      <c r="J10" s="10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75" customHeight="1">
      <c r="A11" s="11" t="s">
        <v>10</v>
      </c>
      <c r="B11" s="1">
        <v>1.3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75" customHeight="1">
      <c r="A12" s="1"/>
      <c r="B12" s="1"/>
      <c r="C12" s="1"/>
      <c r="D12" s="1"/>
      <c r="E12" s="10"/>
      <c r="F12" s="10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75" customHeight="1">
      <c r="A13" s="1"/>
      <c r="B13" s="1"/>
      <c r="C13" s="1"/>
      <c r="D13" s="1"/>
      <c r="E13" s="10"/>
      <c r="F13" s="10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12" t="s">
        <v>11</v>
      </c>
      <c r="B14" s="13" t="s">
        <v>12</v>
      </c>
      <c r="C14" s="13" t="s">
        <v>13</v>
      </c>
      <c r="D14" s="13" t="s">
        <v>14</v>
      </c>
      <c r="E14" s="13" t="s">
        <v>15</v>
      </c>
      <c r="F14" s="13" t="s">
        <v>16</v>
      </c>
      <c r="G14" s="13" t="s">
        <v>17</v>
      </c>
      <c r="H14" s="10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8" t="s">
        <v>18</v>
      </c>
      <c r="B15" s="14"/>
      <c r="C15" s="14">
        <f t="shared" ref="C15:D15" si="1">(B92*B90)/1000000</f>
        <v>37.90696105</v>
      </c>
      <c r="D15" s="14">
        <f t="shared" si="1"/>
        <v>94.76740263</v>
      </c>
      <c r="E15" s="14">
        <f>(D90*D92)/1000000</f>
        <v>189.5348053</v>
      </c>
      <c r="F15" s="14">
        <f t="shared" ref="F15:G15" si="2">(E92*E90)/1000000</f>
        <v>284.3022079</v>
      </c>
      <c r="G15" s="14">
        <f t="shared" si="2"/>
        <v>379.0696105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15" t="s">
        <v>19</v>
      </c>
      <c r="B16" s="14"/>
      <c r="C16" s="14">
        <f t="shared" ref="C16:G16" si="3">-(C15*0.5)</f>
        <v>-18.95348053</v>
      </c>
      <c r="D16" s="14">
        <f t="shared" si="3"/>
        <v>-47.38370131</v>
      </c>
      <c r="E16" s="14">
        <f t="shared" si="3"/>
        <v>-94.76740263</v>
      </c>
      <c r="F16" s="14">
        <f t="shared" si="3"/>
        <v>-142.1511039</v>
      </c>
      <c r="G16" s="14">
        <f t="shared" si="3"/>
        <v>-189.5348053</v>
      </c>
      <c r="H16" s="1"/>
      <c r="I16" s="16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15" t="s">
        <v>20</v>
      </c>
      <c r="B17" s="7"/>
      <c r="C17" s="7">
        <f t="shared" ref="C17:G17" si="4">-(C15*0.2)</f>
        <v>-7.58139221</v>
      </c>
      <c r="D17" s="7">
        <f t="shared" si="4"/>
        <v>-18.95348053</v>
      </c>
      <c r="E17" s="7">
        <f t="shared" si="4"/>
        <v>-37.90696105</v>
      </c>
      <c r="F17" s="7">
        <f t="shared" si="4"/>
        <v>-56.86044158</v>
      </c>
      <c r="G17" s="7">
        <f t="shared" si="4"/>
        <v>-75.8139221</v>
      </c>
      <c r="H17" s="1"/>
      <c r="I17" s="16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5" t="s">
        <v>21</v>
      </c>
      <c r="B18" s="14"/>
      <c r="C18" s="14">
        <f t="shared" ref="C18:G18" si="5">-(C15*0.1)</f>
        <v>-3.790696105</v>
      </c>
      <c r="D18" s="14">
        <f t="shared" si="5"/>
        <v>-9.476740263</v>
      </c>
      <c r="E18" s="14">
        <f t="shared" si="5"/>
        <v>-18.95348053</v>
      </c>
      <c r="F18" s="14">
        <f t="shared" si="5"/>
        <v>-28.43022079</v>
      </c>
      <c r="G18" s="14">
        <f t="shared" si="5"/>
        <v>-37.90696105</v>
      </c>
      <c r="H18" s="1"/>
      <c r="I18" s="16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7" t="s">
        <v>22</v>
      </c>
      <c r="B19" s="18"/>
      <c r="C19" s="19">
        <f t="shared" ref="C19:G19" si="6">C16+C17+C18</f>
        <v>-30.32556884</v>
      </c>
      <c r="D19" s="19">
        <f t="shared" si="6"/>
        <v>-75.8139221</v>
      </c>
      <c r="E19" s="19">
        <f t="shared" si="6"/>
        <v>-151.6278442</v>
      </c>
      <c r="F19" s="19">
        <f t="shared" si="6"/>
        <v>-227.4417663</v>
      </c>
      <c r="G19" s="19">
        <f t="shared" si="6"/>
        <v>-303.2556884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5.75" customHeight="1">
      <c r="A20" s="15" t="s">
        <v>23</v>
      </c>
      <c r="B20" s="18"/>
      <c r="C20" s="14">
        <f>-E61/1000000</f>
        <v>-15.6</v>
      </c>
      <c r="D20" s="14">
        <f>-C73/1000000</f>
        <v>-17.628</v>
      </c>
      <c r="E20" s="14">
        <f>-E73/1000000</f>
        <v>-26.04876</v>
      </c>
      <c r="F20" s="14">
        <f>-G73/1000000</f>
        <v>-29.4350988</v>
      </c>
      <c r="G20" s="7">
        <f>-I73/1000000</f>
        <v>-33.26166164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5" t="s">
        <v>24</v>
      </c>
      <c r="B21" s="18"/>
      <c r="C21" s="14">
        <f t="shared" ref="C21:G21" si="7">-250000/1000000</f>
        <v>-0.25</v>
      </c>
      <c r="D21" s="14">
        <f t="shared" si="7"/>
        <v>-0.25</v>
      </c>
      <c r="E21" s="14">
        <f t="shared" si="7"/>
        <v>-0.25</v>
      </c>
      <c r="F21" s="14">
        <f t="shared" si="7"/>
        <v>-0.25</v>
      </c>
      <c r="G21" s="14">
        <f t="shared" si="7"/>
        <v>-0.25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5" t="s">
        <v>25</v>
      </c>
      <c r="B22" s="18"/>
      <c r="C22" s="14">
        <v>0.0</v>
      </c>
      <c r="D22" s="14">
        <v>0.0</v>
      </c>
      <c r="E22" s="14">
        <v>0.0</v>
      </c>
      <c r="F22" s="14">
        <v>0.0</v>
      </c>
      <c r="G22" s="14">
        <v>0.0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7" t="s">
        <v>26</v>
      </c>
      <c r="B23" s="18"/>
      <c r="C23" s="19">
        <f t="shared" ref="C23:G23" si="8">C20+C21+C22</f>
        <v>-15.85</v>
      </c>
      <c r="D23" s="19">
        <f t="shared" si="8"/>
        <v>-17.878</v>
      </c>
      <c r="E23" s="19">
        <f t="shared" si="8"/>
        <v>-26.29876</v>
      </c>
      <c r="F23" s="19">
        <f t="shared" si="8"/>
        <v>-29.6850988</v>
      </c>
      <c r="G23" s="19">
        <f t="shared" si="8"/>
        <v>-33.51166164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8" t="s">
        <v>27</v>
      </c>
      <c r="B24" s="18"/>
      <c r="C24" s="20">
        <f t="shared" ref="C24:G24" si="9">(C20+C16+C17+C18+C21+C22)</f>
        <v>-46.17556884</v>
      </c>
      <c r="D24" s="14">
        <f t="shared" si="9"/>
        <v>-93.6919221</v>
      </c>
      <c r="E24" s="14">
        <f t="shared" si="9"/>
        <v>-177.9266042</v>
      </c>
      <c r="F24" s="14">
        <f t="shared" si="9"/>
        <v>-257.1268651</v>
      </c>
      <c r="G24" s="14">
        <f t="shared" si="9"/>
        <v>-336.7673501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21" t="s">
        <v>28</v>
      </c>
      <c r="B25" s="18"/>
      <c r="C25" s="14">
        <f t="shared" ref="C25:G25" si="10">C15+C20</f>
        <v>22.30696105</v>
      </c>
      <c r="D25" s="14">
        <f t="shared" si="10"/>
        <v>77.13940263</v>
      </c>
      <c r="E25" s="14">
        <f t="shared" si="10"/>
        <v>163.4860453</v>
      </c>
      <c r="F25" s="14">
        <f t="shared" si="10"/>
        <v>254.8671091</v>
      </c>
      <c r="G25" s="14">
        <f t="shared" si="10"/>
        <v>345.8079489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0" t="s">
        <v>29</v>
      </c>
      <c r="B26" s="18"/>
      <c r="C26" s="22">
        <f>-B11/5</f>
        <v>-0.26</v>
      </c>
      <c r="D26" s="22">
        <f>-B11/5</f>
        <v>-0.26</v>
      </c>
      <c r="E26" s="22">
        <f>-B11/5</f>
        <v>-0.26</v>
      </c>
      <c r="F26" s="22">
        <f>-B11/5</f>
        <v>-0.26</v>
      </c>
      <c r="G26" s="22">
        <f>-B11/5</f>
        <v>-0.26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8" t="s">
        <v>30</v>
      </c>
      <c r="B27" s="18"/>
      <c r="C27" s="14">
        <f t="shared" ref="C27:G27" si="11">C25+C19+C26</f>
        <v>-8.27860779</v>
      </c>
      <c r="D27" s="14">
        <f t="shared" si="11"/>
        <v>1.065480525</v>
      </c>
      <c r="E27" s="14">
        <f t="shared" si="11"/>
        <v>11.59820105</v>
      </c>
      <c r="F27" s="14">
        <f t="shared" si="11"/>
        <v>27.16534278</v>
      </c>
      <c r="G27" s="14">
        <f t="shared" si="11"/>
        <v>42.29226046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23" t="s">
        <v>31</v>
      </c>
      <c r="B28" s="18"/>
      <c r="C28" s="14">
        <f t="shared" ref="C28:G28" si="12">-C27*0.1</f>
        <v>0.827860779</v>
      </c>
      <c r="D28" s="14">
        <f t="shared" si="12"/>
        <v>-0.1065480525</v>
      </c>
      <c r="E28" s="14">
        <f t="shared" si="12"/>
        <v>-1.159820105</v>
      </c>
      <c r="F28" s="14">
        <f t="shared" si="12"/>
        <v>-2.716534278</v>
      </c>
      <c r="G28" s="14">
        <f t="shared" si="12"/>
        <v>-4.229226046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21" t="s">
        <v>32</v>
      </c>
      <c r="B29" s="18"/>
      <c r="C29" s="24">
        <f t="shared" ref="C29:G29" si="13">C27+C28</f>
        <v>-7.450747011</v>
      </c>
      <c r="D29" s="24">
        <f t="shared" si="13"/>
        <v>0.9589324729</v>
      </c>
      <c r="E29" s="24">
        <f t="shared" si="13"/>
        <v>10.43838095</v>
      </c>
      <c r="F29" s="24">
        <f t="shared" si="13"/>
        <v>24.4488085</v>
      </c>
      <c r="G29" s="24">
        <f t="shared" si="13"/>
        <v>38.06303441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0"/>
      <c r="B30" s="18"/>
      <c r="C30" s="22"/>
      <c r="D30" s="22"/>
      <c r="E30" s="22"/>
      <c r="F30" s="22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0" t="s">
        <v>33</v>
      </c>
      <c r="B31" s="18"/>
      <c r="C31" s="22">
        <v>0.0</v>
      </c>
      <c r="D31" s="25">
        <f t="shared" ref="D31:G31" si="14">((D15-C15)/C15)</f>
        <v>1.5</v>
      </c>
      <c r="E31" s="25">
        <f t="shared" si="14"/>
        <v>1</v>
      </c>
      <c r="F31" s="25">
        <f t="shared" si="14"/>
        <v>0.5</v>
      </c>
      <c r="G31" s="25">
        <f t="shared" si="14"/>
        <v>0.3333333333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0"/>
      <c r="C32" s="22"/>
      <c r="D32" s="22"/>
      <c r="E32" s="22"/>
      <c r="F32" s="22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0"/>
      <c r="B33" s="22"/>
      <c r="C33" s="22"/>
      <c r="D33" s="22"/>
      <c r="E33" s="22"/>
      <c r="F33" s="22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26" t="s">
        <v>34</v>
      </c>
      <c r="B34" s="27" t="s">
        <v>12</v>
      </c>
      <c r="C34" s="27" t="s">
        <v>13</v>
      </c>
      <c r="D34" s="27" t="s">
        <v>14</v>
      </c>
      <c r="E34" s="27" t="s">
        <v>15</v>
      </c>
      <c r="F34" s="27" t="s">
        <v>16</v>
      </c>
      <c r="G34" s="27" t="s">
        <v>17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7" t="s">
        <v>32</v>
      </c>
      <c r="B35" s="7"/>
      <c r="C35" s="7">
        <f t="shared" ref="C35:G35" si="15">C29</f>
        <v>-7.450747011</v>
      </c>
      <c r="D35" s="7">
        <f t="shared" si="15"/>
        <v>0.9589324729</v>
      </c>
      <c r="E35" s="7">
        <f t="shared" si="15"/>
        <v>10.43838095</v>
      </c>
      <c r="F35" s="7">
        <f t="shared" si="15"/>
        <v>24.4488085</v>
      </c>
      <c r="G35" s="7">
        <f t="shared" si="15"/>
        <v>38.06303441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7" t="s">
        <v>35</v>
      </c>
      <c r="B36" s="7"/>
      <c r="C36" s="7">
        <f t="shared" ref="C36:G36" si="16">-C26</f>
        <v>0.26</v>
      </c>
      <c r="D36" s="7">
        <f t="shared" si="16"/>
        <v>0.26</v>
      </c>
      <c r="E36" s="7">
        <f t="shared" si="16"/>
        <v>0.26</v>
      </c>
      <c r="F36" s="7">
        <f t="shared" si="16"/>
        <v>0.26</v>
      </c>
      <c r="G36" s="7">
        <f t="shared" si="16"/>
        <v>0.26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7" t="s">
        <v>36</v>
      </c>
      <c r="B37" s="7">
        <v>-1.3</v>
      </c>
      <c r="C37" s="7"/>
      <c r="D37" s="7"/>
      <c r="E37" s="7"/>
      <c r="F37" s="7"/>
      <c r="G37" s="7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7" t="s">
        <v>37</v>
      </c>
      <c r="B38" s="7">
        <v>-15.7</v>
      </c>
      <c r="C38" s="7"/>
      <c r="D38" s="7"/>
      <c r="E38" s="7"/>
      <c r="F38" s="7"/>
      <c r="G38" s="7">
        <v>17.0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28" t="s">
        <v>38</v>
      </c>
      <c r="B39" s="9">
        <f t="shared" ref="B39:G39" si="17">B35+B36+B37+B38</f>
        <v>-17</v>
      </c>
      <c r="C39" s="9">
        <f t="shared" si="17"/>
        <v>-7.190747011</v>
      </c>
      <c r="D39" s="9">
        <f t="shared" si="17"/>
        <v>1.218932473</v>
      </c>
      <c r="E39" s="9">
        <f t="shared" si="17"/>
        <v>10.69838095</v>
      </c>
      <c r="F39" s="9">
        <f t="shared" si="17"/>
        <v>24.7088085</v>
      </c>
      <c r="G39" s="9">
        <f t="shared" si="17"/>
        <v>55.32303441</v>
      </c>
      <c r="H39" s="1"/>
      <c r="I39" s="1"/>
      <c r="J39" s="7"/>
      <c r="K39" s="7"/>
      <c r="L39" s="7"/>
      <c r="M39" s="7"/>
      <c r="N39" s="7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7" t="s">
        <v>39</v>
      </c>
      <c r="B40" s="7"/>
      <c r="C40" s="20"/>
      <c r="D40" s="20"/>
      <c r="E40" s="20"/>
      <c r="F40" s="20"/>
      <c r="G40" s="20">
        <f>(G39*(1+B94))/(B93-B94)</f>
        <v>335.1925026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7" t="s">
        <v>40</v>
      </c>
      <c r="B41" s="7">
        <f t="shared" ref="B41:G41" si="18">B39+B40</f>
        <v>-17</v>
      </c>
      <c r="C41" s="20">
        <f t="shared" si="18"/>
        <v>-7.190747011</v>
      </c>
      <c r="D41" s="20">
        <f t="shared" si="18"/>
        <v>1.218932473</v>
      </c>
      <c r="E41" s="20">
        <f t="shared" si="18"/>
        <v>10.69838095</v>
      </c>
      <c r="F41" s="20">
        <f t="shared" si="18"/>
        <v>24.7088085</v>
      </c>
      <c r="G41" s="20">
        <f t="shared" si="18"/>
        <v>390.515537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7" t="s">
        <v>41</v>
      </c>
      <c r="B42" s="7">
        <f>B41/(1+B93)^0</f>
        <v>-17</v>
      </c>
      <c r="C42" s="29">
        <f>C41/(1+B93)^1</f>
        <v>-5.992289176</v>
      </c>
      <c r="D42" s="20">
        <f>D41/(1+B93)^2</f>
        <v>0.846480884</v>
      </c>
      <c r="E42" s="29">
        <f>E41/(1+B93)^3</f>
        <v>6.191192677</v>
      </c>
      <c r="F42" s="29">
        <f>F41/(1+B93)^4</f>
        <v>11.91589916</v>
      </c>
      <c r="G42" s="29">
        <f>G41/(1+B93)^5</f>
        <v>156.9394359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7"/>
      <c r="B43" s="7"/>
      <c r="C43" s="7"/>
      <c r="E43" s="7"/>
      <c r="F43" s="7"/>
      <c r="G43" s="7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28" t="s">
        <v>42</v>
      </c>
      <c r="B44" s="9">
        <f t="array" ref="B44">NPV(20%,C39:G39)+B39</f>
        <v>18.19437029</v>
      </c>
      <c r="C44" s="7"/>
      <c r="D44" s="7"/>
      <c r="E44" s="7"/>
      <c r="F44" s="7"/>
      <c r="G44" s="7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30" t="s">
        <v>43</v>
      </c>
      <c r="B45" s="31">
        <f>IRR(B41:G41)</f>
        <v>0.8747016195</v>
      </c>
      <c r="C45" s="32"/>
      <c r="D45" s="32"/>
      <c r="E45" s="32"/>
      <c r="F45" s="32"/>
      <c r="G45" s="7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32"/>
      <c r="B46" s="32"/>
      <c r="C46" s="32"/>
      <c r="D46" s="32"/>
      <c r="E46" s="32"/>
      <c r="F46" s="7"/>
      <c r="G46" s="7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7" t="s">
        <v>38</v>
      </c>
      <c r="B47" s="7">
        <f t="shared" ref="B47:G47" si="19">B39</f>
        <v>-17</v>
      </c>
      <c r="C47" s="7">
        <f t="shared" si="19"/>
        <v>-7.190747011</v>
      </c>
      <c r="D47" s="7">
        <f t="shared" si="19"/>
        <v>1.218932473</v>
      </c>
      <c r="E47" s="7">
        <f t="shared" si="19"/>
        <v>10.69838095</v>
      </c>
      <c r="F47" s="7">
        <f t="shared" si="19"/>
        <v>24.7088085</v>
      </c>
      <c r="G47" s="7">
        <f t="shared" si="19"/>
        <v>55.32303441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32" t="s">
        <v>44</v>
      </c>
      <c r="B48" s="32">
        <f>B47</f>
        <v>-17</v>
      </c>
      <c r="C48" s="32">
        <f>B47+C47</f>
        <v>-24.19074701</v>
      </c>
      <c r="D48" s="32">
        <f t="shared" ref="D48:G48" si="20">C48+D47</f>
        <v>-22.97181454</v>
      </c>
      <c r="E48" s="32">
        <f t="shared" si="20"/>
        <v>-12.27343359</v>
      </c>
      <c r="F48" s="32">
        <f t="shared" si="20"/>
        <v>12.43537491</v>
      </c>
      <c r="G48" s="32">
        <f t="shared" si="20"/>
        <v>67.75840932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33" t="s">
        <v>45</v>
      </c>
      <c r="B49" s="34">
        <f>3-(E48/F47)</f>
        <v>3.496723004</v>
      </c>
      <c r="C49" s="32"/>
      <c r="D49" s="32"/>
      <c r="E49" s="32"/>
      <c r="F49" s="7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32"/>
      <c r="B50" s="32"/>
      <c r="C50" s="32"/>
      <c r="D50" s="32"/>
      <c r="E50" s="32"/>
      <c r="F50" s="7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0"/>
      <c r="B51" s="10"/>
      <c r="C51" s="10"/>
      <c r="D51" s="10"/>
      <c r="E51" s="10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35" t="s">
        <v>46</v>
      </c>
      <c r="B52" s="36" t="s">
        <v>47</v>
      </c>
      <c r="C52" s="36" t="s">
        <v>48</v>
      </c>
      <c r="D52" s="36" t="s">
        <v>49</v>
      </c>
      <c r="E52" s="1"/>
      <c r="F52" s="37"/>
      <c r="G52" s="38"/>
      <c r="H52" s="38"/>
      <c r="I52" s="38"/>
      <c r="J52" s="37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0" t="s">
        <v>50</v>
      </c>
      <c r="B53" s="22">
        <v>1.0</v>
      </c>
      <c r="C53" s="14">
        <v>200000.0</v>
      </c>
      <c r="D53" s="14">
        <f t="shared" ref="D53:D59" si="21">(C53*B53)</f>
        <v>200000</v>
      </c>
      <c r="E53" s="1"/>
      <c r="F53" s="10"/>
      <c r="G53" s="10"/>
      <c r="H53" s="22"/>
      <c r="I53" s="22"/>
      <c r="J53" s="22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0" t="s">
        <v>51</v>
      </c>
      <c r="B54" s="22">
        <v>1.0</v>
      </c>
      <c r="C54" s="14">
        <v>250000.0</v>
      </c>
      <c r="D54" s="14">
        <f t="shared" si="21"/>
        <v>250000</v>
      </c>
      <c r="E54" s="1"/>
      <c r="F54" s="39"/>
      <c r="G54" s="22"/>
      <c r="H54" s="22"/>
      <c r="I54" s="22"/>
      <c r="J54" s="22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0" t="s">
        <v>52</v>
      </c>
      <c r="B55" s="22">
        <v>1.0</v>
      </c>
      <c r="C55" s="14">
        <v>150000.0</v>
      </c>
      <c r="D55" s="14">
        <f t="shared" si="21"/>
        <v>150000</v>
      </c>
      <c r="E55" s="1"/>
      <c r="F55" s="39"/>
      <c r="G55" s="22"/>
      <c r="H55" s="22"/>
      <c r="I55" s="22"/>
      <c r="J55" s="22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0" t="s">
        <v>53</v>
      </c>
      <c r="B56" s="22">
        <v>1.0</v>
      </c>
      <c r="C56" s="14">
        <v>180000.0</v>
      </c>
      <c r="D56" s="14">
        <f t="shared" si="21"/>
        <v>180000</v>
      </c>
      <c r="E56" s="1"/>
      <c r="F56" s="39"/>
      <c r="G56" s="22"/>
      <c r="H56" s="22"/>
      <c r="I56" s="22"/>
      <c r="J56" s="22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0" t="s">
        <v>54</v>
      </c>
      <c r="B57" s="22">
        <v>1.0</v>
      </c>
      <c r="C57" s="14">
        <v>200000.0</v>
      </c>
      <c r="D57" s="14">
        <f t="shared" si="21"/>
        <v>200000</v>
      </c>
      <c r="E57" s="1"/>
      <c r="F57" s="10"/>
      <c r="G57" s="10"/>
      <c r="H57" s="10"/>
      <c r="I57" s="40"/>
      <c r="J57" s="4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0" t="s">
        <v>55</v>
      </c>
      <c r="B58" s="22">
        <v>1.0</v>
      </c>
      <c r="C58" s="14">
        <v>120000.0</v>
      </c>
      <c r="D58" s="14">
        <f t="shared" si="21"/>
        <v>120000</v>
      </c>
      <c r="E58" s="1"/>
      <c r="F58" s="10"/>
      <c r="G58" s="10"/>
      <c r="H58" s="10"/>
      <c r="I58" s="10"/>
      <c r="J58" s="22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0" t="s">
        <v>56</v>
      </c>
      <c r="B59" s="22">
        <v>1.0</v>
      </c>
      <c r="C59" s="14">
        <v>200000.0</v>
      </c>
      <c r="D59" s="14">
        <f t="shared" si="21"/>
        <v>200000</v>
      </c>
      <c r="E59" s="1"/>
      <c r="F59" s="10"/>
      <c r="G59" s="10"/>
      <c r="H59" s="10"/>
      <c r="I59" s="10"/>
      <c r="J59" s="22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42" t="s">
        <v>57</v>
      </c>
      <c r="B60" s="10"/>
      <c r="C60" s="10"/>
      <c r="D60" s="43">
        <f>(D53+D54+D55+D56+D57+D58+D59)</f>
        <v>1300000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44"/>
      <c r="B61" s="44"/>
      <c r="C61" s="44"/>
      <c r="D61" s="44" t="s">
        <v>58</v>
      </c>
      <c r="E61" s="45">
        <f>(D60*12)</f>
        <v>15600000</v>
      </c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47" t="s">
        <v>59</v>
      </c>
      <c r="B63" s="21" t="s">
        <v>60</v>
      </c>
      <c r="D63" s="21" t="s">
        <v>61</v>
      </c>
      <c r="F63" s="48" t="s">
        <v>62</v>
      </c>
      <c r="H63" s="21" t="s">
        <v>63</v>
      </c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49" t="s">
        <v>46</v>
      </c>
      <c r="B64" s="49" t="s">
        <v>64</v>
      </c>
      <c r="C64" s="49" t="s">
        <v>49</v>
      </c>
      <c r="D64" s="49" t="s">
        <v>65</v>
      </c>
      <c r="E64" s="49" t="s">
        <v>49</v>
      </c>
      <c r="F64" s="50"/>
      <c r="G64" s="49" t="s">
        <v>49</v>
      </c>
      <c r="H64" s="49" t="s">
        <v>64</v>
      </c>
      <c r="I64" s="49" t="s">
        <v>49</v>
      </c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0" t="s">
        <v>50</v>
      </c>
      <c r="B65" s="22">
        <v>1.0</v>
      </c>
      <c r="C65" s="14">
        <f t="shared" ref="C65:C71" si="22">(D53*B65*1.13)</f>
        <v>226000</v>
      </c>
      <c r="D65" s="22">
        <v>2.0</v>
      </c>
      <c r="E65" s="14">
        <f t="shared" ref="E65:E71" si="23">(C65*D65*1.13)</f>
        <v>510760</v>
      </c>
      <c r="F65" s="22">
        <v>2.0</v>
      </c>
      <c r="G65" s="14">
        <f>(E65*1.13)</f>
        <v>577158.8</v>
      </c>
      <c r="H65" s="22">
        <v>2.0</v>
      </c>
      <c r="I65" s="14">
        <f>(G65*1.13)</f>
        <v>652189.444</v>
      </c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0" t="s">
        <v>51</v>
      </c>
      <c r="B66" s="22">
        <v>1.0</v>
      </c>
      <c r="C66" s="14">
        <f t="shared" si="22"/>
        <v>282500</v>
      </c>
      <c r="D66" s="22">
        <v>1.0</v>
      </c>
      <c r="E66" s="14">
        <f t="shared" si="23"/>
        <v>319225</v>
      </c>
      <c r="F66" s="22">
        <v>1.0</v>
      </c>
      <c r="G66" s="22">
        <f t="shared" ref="G66:G70" si="24">(E66*F66*1.13)</f>
        <v>360724.25</v>
      </c>
      <c r="H66" s="22">
        <v>1.0</v>
      </c>
      <c r="I66" s="14">
        <f t="shared" ref="I66:I70" si="25">(G66*H66*1.13)</f>
        <v>407618.4025</v>
      </c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0" t="s">
        <v>52</v>
      </c>
      <c r="B67" s="22">
        <v>1.0</v>
      </c>
      <c r="C67" s="14">
        <f t="shared" si="22"/>
        <v>169500</v>
      </c>
      <c r="D67" s="22">
        <v>1.0</v>
      </c>
      <c r="E67" s="14">
        <f t="shared" si="23"/>
        <v>191535</v>
      </c>
      <c r="F67" s="22">
        <v>1.0</v>
      </c>
      <c r="G67" s="22">
        <f t="shared" si="24"/>
        <v>216434.55</v>
      </c>
      <c r="H67" s="22">
        <v>1.0</v>
      </c>
      <c r="I67" s="14">
        <f t="shared" si="25"/>
        <v>244571.0415</v>
      </c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0" t="s">
        <v>53</v>
      </c>
      <c r="B68" s="22">
        <v>1.0</v>
      </c>
      <c r="C68" s="14">
        <f t="shared" si="22"/>
        <v>203400</v>
      </c>
      <c r="D68" s="22">
        <v>1.0</v>
      </c>
      <c r="E68" s="14">
        <f t="shared" si="23"/>
        <v>229842</v>
      </c>
      <c r="F68" s="22">
        <v>1.0</v>
      </c>
      <c r="G68" s="22">
        <f t="shared" si="24"/>
        <v>259721.46</v>
      </c>
      <c r="H68" s="22">
        <v>1.0</v>
      </c>
      <c r="I68" s="14">
        <f t="shared" si="25"/>
        <v>293485.2498</v>
      </c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0" t="s">
        <v>54</v>
      </c>
      <c r="B69" s="22">
        <v>1.0</v>
      </c>
      <c r="C69" s="14">
        <f t="shared" si="22"/>
        <v>226000</v>
      </c>
      <c r="D69" s="22">
        <v>1.0</v>
      </c>
      <c r="E69" s="14">
        <f t="shared" si="23"/>
        <v>255380</v>
      </c>
      <c r="F69" s="22">
        <v>1.0</v>
      </c>
      <c r="G69" s="14">
        <f t="shared" si="24"/>
        <v>288579.4</v>
      </c>
      <c r="H69" s="22">
        <v>1.0</v>
      </c>
      <c r="I69" s="14">
        <f t="shared" si="25"/>
        <v>326094.722</v>
      </c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0" t="s">
        <v>55</v>
      </c>
      <c r="B70" s="22">
        <v>1.0</v>
      </c>
      <c r="C70" s="14">
        <f t="shared" si="22"/>
        <v>135600</v>
      </c>
      <c r="D70" s="22">
        <v>1.0</v>
      </c>
      <c r="E70" s="14">
        <f t="shared" si="23"/>
        <v>153228</v>
      </c>
      <c r="F70" s="22">
        <v>1.0</v>
      </c>
      <c r="G70" s="22">
        <f t="shared" si="24"/>
        <v>173147.64</v>
      </c>
      <c r="H70" s="22">
        <v>1.0</v>
      </c>
      <c r="I70" s="14">
        <f t="shared" si="25"/>
        <v>195656.8332</v>
      </c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0" t="s">
        <v>56</v>
      </c>
      <c r="B71" s="22">
        <v>1.0</v>
      </c>
      <c r="C71" s="14">
        <f t="shared" si="22"/>
        <v>226000</v>
      </c>
      <c r="D71" s="22">
        <v>2.0</v>
      </c>
      <c r="E71" s="14">
        <f t="shared" si="23"/>
        <v>510760</v>
      </c>
      <c r="F71" s="22">
        <v>2.0</v>
      </c>
      <c r="G71" s="14">
        <f>E71*1.13</f>
        <v>577158.8</v>
      </c>
      <c r="H71" s="22">
        <v>2.0</v>
      </c>
      <c r="I71" s="14">
        <f>G71*1.13</f>
        <v>652189.444</v>
      </c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42" t="s">
        <v>57</v>
      </c>
      <c r="B72" s="10"/>
      <c r="C72" s="43">
        <f>(C65+C66+C67+C68+C69+C70+C71)</f>
        <v>1469000</v>
      </c>
      <c r="D72" s="10"/>
      <c r="E72" s="43">
        <f>(E65+E66+E67+E68+E69+E70+E71)</f>
        <v>2170730</v>
      </c>
      <c r="F72" s="10"/>
      <c r="G72" s="43">
        <f>(G65+G66+G67+G68+G69+G70+G71)</f>
        <v>2452924.9</v>
      </c>
      <c r="H72" s="10"/>
      <c r="I72" s="43">
        <f>(I65+I66+I67+I68+I69+I70+I71)</f>
        <v>2771805.137</v>
      </c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8" t="s">
        <v>58</v>
      </c>
      <c r="B73" s="10"/>
      <c r="C73" s="14">
        <f>(C72*12)</f>
        <v>17628000</v>
      </c>
      <c r="D73" s="10"/>
      <c r="E73" s="14">
        <f>(E72*12)</f>
        <v>26048760</v>
      </c>
      <c r="F73" s="10"/>
      <c r="G73" s="14">
        <f>(G72*12)</f>
        <v>29435098.8</v>
      </c>
      <c r="H73" s="10"/>
      <c r="I73" s="22">
        <f>(I72*12)</f>
        <v>33261661.64</v>
      </c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51"/>
      <c r="E75" s="51"/>
      <c r="F75" s="5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52" t="s">
        <v>66</v>
      </c>
      <c r="B76" s="53" t="s">
        <v>67</v>
      </c>
      <c r="C76" s="51"/>
      <c r="D76" s="51"/>
      <c r="E76" s="5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54">
        <v>40.0</v>
      </c>
      <c r="B77" s="55">
        <v>18401.64</v>
      </c>
      <c r="C77" s="51"/>
      <c r="D77" s="51"/>
      <c r="E77" s="5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35" t="s">
        <v>68</v>
      </c>
      <c r="B79" s="21"/>
      <c r="C79" s="21"/>
      <c r="D79" s="21"/>
      <c r="E79" s="21"/>
      <c r="F79" s="2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0" t="s">
        <v>69</v>
      </c>
      <c r="B80" s="1">
        <v>1300000.0</v>
      </c>
      <c r="C80" s="10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0" t="s">
        <v>70</v>
      </c>
      <c r="B81" s="25">
        <v>0.13</v>
      </c>
      <c r="C81" s="56"/>
      <c r="D81" s="1"/>
      <c r="E81" s="1"/>
      <c r="F81" s="1"/>
      <c r="G81" s="57" t="s">
        <v>71</v>
      </c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0" t="s">
        <v>72</v>
      </c>
      <c r="B82" s="25">
        <v>0.13</v>
      </c>
      <c r="C82" s="10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0" t="s">
        <v>73</v>
      </c>
      <c r="B83" s="14">
        <v>1.7E7</v>
      </c>
      <c r="C83" s="10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0" t="s">
        <v>74</v>
      </c>
      <c r="B84" s="25">
        <v>0.1</v>
      </c>
      <c r="C84" s="10"/>
      <c r="D84" s="1"/>
      <c r="E84" s="1"/>
      <c r="F84" s="1"/>
      <c r="G84" s="57" t="s">
        <v>75</v>
      </c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58" t="s">
        <v>76</v>
      </c>
      <c r="B85" s="51">
        <v>580000.0</v>
      </c>
      <c r="C85" s="1"/>
      <c r="D85" s="1"/>
      <c r="E85" s="1"/>
      <c r="F85" s="1"/>
      <c r="G85" s="57" t="s">
        <v>77</v>
      </c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58" t="s">
        <v>78</v>
      </c>
      <c r="B86" s="51" t="s">
        <v>79</v>
      </c>
      <c r="C86" s="1"/>
      <c r="D86" s="1"/>
      <c r="E86" s="1"/>
      <c r="F86" s="1"/>
      <c r="G86" s="57" t="s">
        <v>80</v>
      </c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58" t="s">
        <v>81</v>
      </c>
      <c r="B87" s="59">
        <v>0.15</v>
      </c>
      <c r="C87" s="1"/>
      <c r="D87" s="1"/>
      <c r="E87" s="1"/>
      <c r="F87" s="1"/>
      <c r="G87" s="57" t="s">
        <v>82</v>
      </c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60" t="s">
        <v>83</v>
      </c>
      <c r="B88" s="51">
        <v>13050.0</v>
      </c>
      <c r="C88" s="61">
        <f t="shared" ref="C88:F88" si="26">B88*1.23</f>
        <v>16051.5</v>
      </c>
      <c r="D88" s="61">
        <f t="shared" si="26"/>
        <v>19743.345</v>
      </c>
      <c r="E88" s="61">
        <f t="shared" si="26"/>
        <v>24284.31435</v>
      </c>
      <c r="F88" s="61">
        <f t="shared" si="26"/>
        <v>29869.70665</v>
      </c>
      <c r="G88" s="62" t="s">
        <v>84</v>
      </c>
      <c r="H88" s="63">
        <f>SUM(B88:F88)</f>
        <v>102998.866</v>
      </c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58" t="s">
        <v>85</v>
      </c>
      <c r="B89" s="64"/>
      <c r="C89" s="54"/>
      <c r="D89" s="61"/>
      <c r="E89" s="61"/>
      <c r="F89" s="61"/>
      <c r="G89" s="62"/>
      <c r="H89" s="62">
        <f>H88*40</f>
        <v>4119954.64</v>
      </c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65" t="s">
        <v>86</v>
      </c>
      <c r="B90" s="66">
        <f>(H89*0.02)/40</f>
        <v>2059.97732</v>
      </c>
      <c r="C90" s="61">
        <f>(H89*0.05)/40</f>
        <v>5149.9433</v>
      </c>
      <c r="D90" s="61">
        <f>(H89*0.1)/40</f>
        <v>10299.8866</v>
      </c>
      <c r="E90" s="61">
        <f>(H89*0.15)/40</f>
        <v>15449.8299</v>
      </c>
      <c r="F90" s="61">
        <f>(H89*0.2)/40</f>
        <v>20599.7732</v>
      </c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58" t="s">
        <v>87</v>
      </c>
      <c r="B91" s="59"/>
      <c r="C91" s="54"/>
      <c r="D91" s="61"/>
      <c r="E91" s="61"/>
      <c r="F91" s="61"/>
      <c r="G91" s="57" t="s">
        <v>88</v>
      </c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 t="s">
        <v>89</v>
      </c>
      <c r="B92" s="7">
        <f>B77</f>
        <v>18401.64</v>
      </c>
      <c r="C92" s="7">
        <f>B77</f>
        <v>18401.64</v>
      </c>
      <c r="D92" s="7">
        <f>B77</f>
        <v>18401.64</v>
      </c>
      <c r="E92" s="7">
        <f>B77</f>
        <v>18401.64</v>
      </c>
      <c r="F92" s="7">
        <f>B77</f>
        <v>18401.64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 t="s">
        <v>90</v>
      </c>
      <c r="B93" s="67">
        <v>0.2</v>
      </c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 t="s">
        <v>91</v>
      </c>
      <c r="B94" s="67">
        <v>0.03</v>
      </c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67"/>
      <c r="C96" s="67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67"/>
      <c r="C97" s="67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C1:I1"/>
    <mergeCell ref="B63:C63"/>
    <mergeCell ref="D63:E63"/>
    <mergeCell ref="F63:G63"/>
    <mergeCell ref="H63:I63"/>
  </mergeCells>
  <hyperlinks>
    <hyperlink r:id="rId1" ref="G81"/>
    <hyperlink r:id="rId2" ref="G84"/>
    <hyperlink r:id="rId3" ref="G85"/>
    <hyperlink r:id="rId4" ref="G86"/>
    <hyperlink r:id="rId5" ref="G87"/>
    <hyperlink r:id="rId6" ref="G91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68" t="s">
        <v>92</v>
      </c>
      <c r="B1" s="69"/>
      <c r="C1" s="69" t="s">
        <v>1</v>
      </c>
    </row>
    <row r="2" ht="15.75" customHeight="1"/>
    <row r="3" ht="15.75" customHeight="1">
      <c r="A3" s="70" t="s">
        <v>2</v>
      </c>
      <c r="B3" s="71"/>
      <c r="E3" s="68"/>
      <c r="F3" s="68"/>
      <c r="G3" s="68"/>
      <c r="H3" s="68"/>
      <c r="J3" s="70"/>
      <c r="K3" s="71"/>
    </row>
    <row r="4" ht="15.75" customHeight="1">
      <c r="A4" s="72" t="s">
        <v>4</v>
      </c>
      <c r="B4" s="73">
        <v>1000000.0</v>
      </c>
      <c r="J4" s="72"/>
      <c r="K4" s="73"/>
    </row>
    <row r="5" ht="15.75" customHeight="1">
      <c r="A5" s="68" t="s">
        <v>5</v>
      </c>
      <c r="B5" s="74">
        <v>30000.0</v>
      </c>
      <c r="E5" s="74"/>
      <c r="F5" s="74"/>
      <c r="G5" s="74"/>
      <c r="H5" s="74"/>
      <c r="K5" s="74"/>
    </row>
    <row r="6" ht="15.75" customHeight="1">
      <c r="A6" s="68" t="s">
        <v>6</v>
      </c>
      <c r="B6" s="74">
        <v>100000.0</v>
      </c>
      <c r="E6" s="74"/>
      <c r="K6" s="74"/>
    </row>
    <row r="7" ht="15.75" customHeight="1">
      <c r="A7" s="68" t="s">
        <v>7</v>
      </c>
      <c r="B7" s="74">
        <v>70000.0</v>
      </c>
      <c r="K7" s="74"/>
    </row>
    <row r="8" ht="15.75" customHeight="1">
      <c r="A8" s="68" t="s">
        <v>8</v>
      </c>
      <c r="B8" s="74">
        <v>100000.0</v>
      </c>
      <c r="K8" s="74"/>
    </row>
    <row r="9" ht="15.75" customHeight="1"/>
    <row r="10" ht="15.75" customHeight="1">
      <c r="A10" s="75" t="s">
        <v>9</v>
      </c>
      <c r="B10" s="74">
        <f>SUM(B4+B5+B6+B7+B8)</f>
        <v>1300000</v>
      </c>
      <c r="C10" s="68"/>
      <c r="J10" s="75"/>
    </row>
    <row r="11" ht="15.75" customHeight="1">
      <c r="A11" s="68" t="s">
        <v>93</v>
      </c>
      <c r="B11" s="68">
        <v>1.3</v>
      </c>
    </row>
    <row r="12" ht="15.75" customHeight="1">
      <c r="E12" s="76"/>
      <c r="F12" s="76"/>
    </row>
    <row r="13" ht="15.75" customHeight="1">
      <c r="E13" s="76"/>
      <c r="F13" s="76"/>
    </row>
    <row r="14" ht="15.75" customHeight="1">
      <c r="E14" s="76"/>
      <c r="F14" s="76"/>
    </row>
    <row r="15" ht="15.75" customHeight="1">
      <c r="A15" s="77" t="s">
        <v>11</v>
      </c>
      <c r="B15" s="78" t="s">
        <v>12</v>
      </c>
      <c r="C15" s="78" t="s">
        <v>13</v>
      </c>
      <c r="D15" s="78" t="s">
        <v>14</v>
      </c>
      <c r="E15" s="78" t="s">
        <v>15</v>
      </c>
      <c r="F15" s="78" t="s">
        <v>16</v>
      </c>
      <c r="G15" s="78" t="s">
        <v>17</v>
      </c>
      <c r="H15" s="76"/>
    </row>
    <row r="16" ht="15.75" customHeight="1">
      <c r="A16" s="75" t="s">
        <v>18</v>
      </c>
      <c r="B16" s="79"/>
      <c r="C16" s="79">
        <f t="shared" ref="C16:D16" si="1">(C94*C92)/1000000</f>
        <v>240.141402</v>
      </c>
      <c r="D16" s="79">
        <f t="shared" si="1"/>
        <v>295.3739245</v>
      </c>
      <c r="E16" s="79">
        <f>(E92*E94)/1000000</f>
        <v>363.3099271</v>
      </c>
      <c r="F16" s="79">
        <f t="shared" ref="F16:G16" si="2">(F94*F92)/1000000</f>
        <v>446.8712103</v>
      </c>
      <c r="G16" s="79">
        <f t="shared" si="2"/>
        <v>549.6515887</v>
      </c>
    </row>
    <row r="17" ht="15.75" customHeight="1">
      <c r="A17" s="80" t="s">
        <v>19</v>
      </c>
      <c r="B17" s="79"/>
      <c r="C17" s="79">
        <f t="shared" ref="C17:G17" si="3">-(C16*0.5)</f>
        <v>-120.070701</v>
      </c>
      <c r="D17" s="79">
        <f t="shared" si="3"/>
        <v>-147.6869622</v>
      </c>
      <c r="E17" s="79">
        <f t="shared" si="3"/>
        <v>-181.6549635</v>
      </c>
      <c r="F17" s="79">
        <f t="shared" si="3"/>
        <v>-223.4356052</v>
      </c>
      <c r="G17" s="79">
        <f t="shared" si="3"/>
        <v>-274.8257943</v>
      </c>
      <c r="I17" s="81"/>
    </row>
    <row r="18" ht="15.75" customHeight="1">
      <c r="A18" s="80" t="s">
        <v>20</v>
      </c>
      <c r="B18" s="74"/>
      <c r="C18" s="74">
        <f t="shared" ref="C18:G18" si="4">-(C16*0.2)</f>
        <v>-48.0282804</v>
      </c>
      <c r="D18" s="74">
        <f t="shared" si="4"/>
        <v>-59.07478489</v>
      </c>
      <c r="E18" s="74">
        <f t="shared" si="4"/>
        <v>-72.66198542</v>
      </c>
      <c r="F18" s="74">
        <f t="shared" si="4"/>
        <v>-89.37424206</v>
      </c>
      <c r="G18" s="74">
        <f t="shared" si="4"/>
        <v>-109.9303177</v>
      </c>
      <c r="I18" s="81"/>
    </row>
    <row r="19" ht="15.75" customHeight="1">
      <c r="A19" s="80" t="s">
        <v>21</v>
      </c>
      <c r="B19" s="79"/>
      <c r="C19" s="79">
        <f t="shared" ref="C19:G19" si="5">-(C16*0.1)</f>
        <v>-24.0141402</v>
      </c>
      <c r="D19" s="79">
        <f t="shared" si="5"/>
        <v>-29.53739245</v>
      </c>
      <c r="E19" s="79">
        <f t="shared" si="5"/>
        <v>-36.33099271</v>
      </c>
      <c r="F19" s="79">
        <f t="shared" si="5"/>
        <v>-44.68712103</v>
      </c>
      <c r="G19" s="79">
        <f t="shared" si="5"/>
        <v>-54.96515887</v>
      </c>
      <c r="I19" s="81"/>
    </row>
    <row r="20" ht="15.75" customHeight="1">
      <c r="A20" s="76" t="s">
        <v>23</v>
      </c>
      <c r="B20" s="79"/>
      <c r="C20" s="79">
        <f>-E63/1000000</f>
        <v>-15.6</v>
      </c>
      <c r="D20" s="79">
        <f>-D75/1000000</f>
        <v>-17.628</v>
      </c>
      <c r="E20" s="79">
        <f>-F75/1000000</f>
        <v>-26.04876</v>
      </c>
      <c r="F20" s="79">
        <f>-H75/1000000</f>
        <v>-29.4350988</v>
      </c>
      <c r="G20" s="74">
        <f>-J75/1000000</f>
        <v>-33.26166164</v>
      </c>
    </row>
    <row r="21" ht="15.75" customHeight="1">
      <c r="A21" s="76" t="s">
        <v>24</v>
      </c>
      <c r="B21" s="79"/>
      <c r="C21" s="79">
        <f t="shared" ref="C21:G21" si="6">-250000/1000000</f>
        <v>-0.25</v>
      </c>
      <c r="D21" s="79">
        <f t="shared" si="6"/>
        <v>-0.25</v>
      </c>
      <c r="E21" s="79">
        <f t="shared" si="6"/>
        <v>-0.25</v>
      </c>
      <c r="F21" s="79">
        <f t="shared" si="6"/>
        <v>-0.25</v>
      </c>
      <c r="G21" s="79">
        <f t="shared" si="6"/>
        <v>-0.25</v>
      </c>
    </row>
    <row r="22" ht="15.75" customHeight="1">
      <c r="A22" s="76" t="s">
        <v>25</v>
      </c>
      <c r="B22" s="79"/>
      <c r="C22" s="79">
        <v>0.0</v>
      </c>
      <c r="D22" s="79">
        <v>0.0</v>
      </c>
      <c r="E22" s="79">
        <v>0.0</v>
      </c>
      <c r="F22" s="79">
        <v>0.0</v>
      </c>
      <c r="G22" s="79">
        <v>0.0</v>
      </c>
    </row>
    <row r="23" ht="15.75" customHeight="1">
      <c r="A23" s="75" t="s">
        <v>27</v>
      </c>
      <c r="B23" s="82"/>
      <c r="C23" s="79">
        <f t="shared" ref="C23:G23" si="7">(C20+C17+C18+C19+C21+C22)</f>
        <v>-207.9631216</v>
      </c>
      <c r="D23" s="79">
        <f t="shared" si="7"/>
        <v>-254.1771396</v>
      </c>
      <c r="E23" s="79">
        <f t="shared" si="7"/>
        <v>-316.9467017</v>
      </c>
      <c r="F23" s="79">
        <f t="shared" si="7"/>
        <v>-387.1820671</v>
      </c>
      <c r="G23" s="79">
        <f t="shared" si="7"/>
        <v>-473.2329326</v>
      </c>
    </row>
    <row r="24" ht="15.75" customHeight="1">
      <c r="A24" s="76" t="s">
        <v>28</v>
      </c>
      <c r="B24" s="82"/>
      <c r="C24" s="79">
        <f t="shared" ref="C24:G24" si="8">C16+C20</f>
        <v>224.541402</v>
      </c>
      <c r="D24" s="79">
        <f t="shared" si="8"/>
        <v>277.7459245</v>
      </c>
      <c r="E24" s="79">
        <f t="shared" si="8"/>
        <v>337.2611671</v>
      </c>
      <c r="F24" s="79">
        <f t="shared" si="8"/>
        <v>417.4361115</v>
      </c>
      <c r="G24" s="79">
        <f t="shared" si="8"/>
        <v>516.389927</v>
      </c>
    </row>
    <row r="25" ht="15.75" customHeight="1">
      <c r="A25" s="76" t="s">
        <v>22</v>
      </c>
      <c r="B25" s="82"/>
      <c r="C25" s="79">
        <f>C17+C18+C19</f>
        <v>-192.1131216</v>
      </c>
      <c r="D25" s="79">
        <f>(D17+D18+D19)</f>
        <v>-236.2991396</v>
      </c>
      <c r="E25" s="79">
        <f t="shared" ref="E25:G25" si="9">E17+E18+E19</f>
        <v>-290.6479417</v>
      </c>
      <c r="F25" s="79">
        <f t="shared" si="9"/>
        <v>-357.4969683</v>
      </c>
      <c r="G25" s="79">
        <f t="shared" si="9"/>
        <v>-439.721271</v>
      </c>
    </row>
    <row r="26" ht="15.75" customHeight="1">
      <c r="A26" s="76" t="s">
        <v>29</v>
      </c>
      <c r="B26" s="82"/>
      <c r="C26" s="82">
        <f>-B11/5</f>
        <v>-0.26</v>
      </c>
      <c r="D26" s="82">
        <f>-B11/5</f>
        <v>-0.26</v>
      </c>
      <c r="E26" s="82">
        <f>-B11/5</f>
        <v>-0.26</v>
      </c>
      <c r="F26" s="82">
        <f>-B11/5</f>
        <v>-0.26</v>
      </c>
      <c r="G26" s="82">
        <f>-B11/5</f>
        <v>-0.26</v>
      </c>
    </row>
    <row r="27" ht="15.75" customHeight="1">
      <c r="A27" s="76" t="s">
        <v>30</v>
      </c>
      <c r="B27" s="82"/>
      <c r="C27" s="79">
        <f t="shared" ref="C27:G27" si="10">C24+C25+C26</f>
        <v>32.1682804</v>
      </c>
      <c r="D27" s="79">
        <f t="shared" si="10"/>
        <v>41.18678489</v>
      </c>
      <c r="E27" s="79">
        <f t="shared" si="10"/>
        <v>46.35322542</v>
      </c>
      <c r="F27" s="79">
        <f t="shared" si="10"/>
        <v>59.67914326</v>
      </c>
      <c r="G27" s="79">
        <f t="shared" si="10"/>
        <v>76.40865609</v>
      </c>
    </row>
    <row r="28" ht="15.75" customHeight="1">
      <c r="A28" s="75" t="s">
        <v>31</v>
      </c>
      <c r="B28" s="83"/>
      <c r="C28" s="79">
        <f t="shared" ref="C28:G28" si="11">-C27*0.1</f>
        <v>-3.21682804</v>
      </c>
      <c r="D28" s="79">
        <f t="shared" si="11"/>
        <v>-4.118678489</v>
      </c>
      <c r="E28" s="79">
        <f t="shared" si="11"/>
        <v>-4.635322542</v>
      </c>
      <c r="F28" s="79">
        <f t="shared" si="11"/>
        <v>-5.967914326</v>
      </c>
      <c r="G28" s="79">
        <f t="shared" si="11"/>
        <v>-7.640865609</v>
      </c>
    </row>
    <row r="29" ht="15.75" customHeight="1">
      <c r="A29" s="76" t="s">
        <v>32</v>
      </c>
      <c r="B29" s="79"/>
      <c r="C29" s="79">
        <f t="shared" ref="C29:G29" si="12">C27+C28</f>
        <v>28.95145236</v>
      </c>
      <c r="D29" s="79">
        <f t="shared" si="12"/>
        <v>37.0681064</v>
      </c>
      <c r="E29" s="79">
        <f t="shared" si="12"/>
        <v>41.71790288</v>
      </c>
      <c r="F29" s="79">
        <f t="shared" si="12"/>
        <v>53.71122894</v>
      </c>
      <c r="G29" s="79">
        <f t="shared" si="12"/>
        <v>68.76779048</v>
      </c>
    </row>
    <row r="30" ht="15.75" customHeight="1">
      <c r="A30" s="76"/>
      <c r="B30" s="82"/>
      <c r="C30" s="82"/>
      <c r="D30" s="82"/>
      <c r="E30" s="82"/>
      <c r="F30" s="82"/>
    </row>
    <row r="31" ht="15.75" customHeight="1">
      <c r="A31" s="76" t="s">
        <v>94</v>
      </c>
      <c r="B31" s="82"/>
      <c r="C31" s="82">
        <v>0.0</v>
      </c>
      <c r="D31" s="83">
        <f t="shared" ref="D31:F31" si="13">((E16-D16)/D16)</f>
        <v>0.23</v>
      </c>
      <c r="E31" s="83">
        <f t="shared" si="13"/>
        <v>0.23</v>
      </c>
      <c r="F31" s="83">
        <f t="shared" si="13"/>
        <v>0.23</v>
      </c>
      <c r="G31" s="82"/>
    </row>
    <row r="32" ht="15.75" customHeight="1">
      <c r="A32" s="76"/>
      <c r="B32" s="82"/>
      <c r="C32" s="82"/>
      <c r="D32" s="82"/>
      <c r="E32" s="82"/>
      <c r="F32" s="82"/>
    </row>
    <row r="33" ht="15.75" customHeight="1">
      <c r="A33" s="70" t="s">
        <v>34</v>
      </c>
      <c r="B33" s="82"/>
      <c r="C33" s="82"/>
      <c r="E33" s="82"/>
      <c r="F33" s="82"/>
    </row>
    <row r="34" ht="15.75" customHeight="1">
      <c r="A34" s="68" t="s">
        <v>32</v>
      </c>
      <c r="C34" s="79">
        <f t="shared" ref="C34:G34" si="14">C29</f>
        <v>28.95145236</v>
      </c>
      <c r="D34" s="74">
        <f t="shared" si="14"/>
        <v>37.0681064</v>
      </c>
      <c r="E34" s="74">
        <f t="shared" si="14"/>
        <v>41.71790288</v>
      </c>
      <c r="F34" s="74">
        <f t="shared" si="14"/>
        <v>53.71122894</v>
      </c>
      <c r="G34" s="74">
        <f t="shared" si="14"/>
        <v>68.76779048</v>
      </c>
    </row>
    <row r="35" ht="15.75" customHeight="1">
      <c r="A35" s="68" t="s">
        <v>35</v>
      </c>
      <c r="C35" s="68">
        <f t="shared" ref="C35:G35" si="15">-C26</f>
        <v>0.26</v>
      </c>
      <c r="D35" s="68">
        <f t="shared" si="15"/>
        <v>0.26</v>
      </c>
      <c r="E35" s="68">
        <f t="shared" si="15"/>
        <v>0.26</v>
      </c>
      <c r="F35" s="68">
        <f t="shared" si="15"/>
        <v>0.26</v>
      </c>
      <c r="G35" s="68">
        <f t="shared" si="15"/>
        <v>0.26</v>
      </c>
    </row>
    <row r="36" ht="15.75" customHeight="1">
      <c r="A36" s="68" t="s">
        <v>36</v>
      </c>
      <c r="B36" s="68">
        <v>-1.3</v>
      </c>
    </row>
    <row r="37" ht="15.75" customHeight="1">
      <c r="A37" s="68" t="s">
        <v>95</v>
      </c>
      <c r="B37" s="68">
        <v>-15.7</v>
      </c>
      <c r="G37" s="68">
        <v>17.0</v>
      </c>
    </row>
    <row r="38" ht="15.75" customHeight="1">
      <c r="A38" s="68" t="s">
        <v>38</v>
      </c>
      <c r="B38" s="68">
        <f t="shared" ref="B38:G38" si="16">B34+B35+B36+B37</f>
        <v>-17</v>
      </c>
      <c r="C38" s="74">
        <f t="shared" si="16"/>
        <v>29.21145236</v>
      </c>
      <c r="D38" s="74">
        <f t="shared" si="16"/>
        <v>37.3281064</v>
      </c>
      <c r="E38" s="74">
        <f t="shared" si="16"/>
        <v>41.97790288</v>
      </c>
      <c r="F38" s="74">
        <f t="shared" si="16"/>
        <v>53.97122894</v>
      </c>
      <c r="G38" s="74">
        <f t="shared" si="16"/>
        <v>86.02779048</v>
      </c>
    </row>
    <row r="39" ht="15.75" customHeight="1">
      <c r="A39" s="68" t="s">
        <v>39</v>
      </c>
      <c r="B39" s="84"/>
      <c r="C39" s="85"/>
      <c r="D39" s="85"/>
      <c r="E39" s="85"/>
      <c r="F39" s="85"/>
      <c r="G39" s="86">
        <f>(G38*(1+C97))/(C96-C97)</f>
        <v>521.2272012</v>
      </c>
    </row>
    <row r="40" ht="15.75" customHeight="1">
      <c r="A40" s="68" t="s">
        <v>40</v>
      </c>
      <c r="B40" s="74">
        <f t="shared" ref="B40:G40" si="17">B38+B39</f>
        <v>-17</v>
      </c>
      <c r="C40" s="86">
        <f t="shared" si="17"/>
        <v>29.21145236</v>
      </c>
      <c r="D40" s="86">
        <f t="shared" si="17"/>
        <v>37.3281064</v>
      </c>
      <c r="E40" s="87">
        <f t="shared" si="17"/>
        <v>41.97790288</v>
      </c>
      <c r="F40" s="87">
        <f t="shared" si="17"/>
        <v>53.97122894</v>
      </c>
      <c r="G40" s="87">
        <f t="shared" si="17"/>
        <v>607.2549917</v>
      </c>
    </row>
    <row r="41" ht="15.75" customHeight="1">
      <c r="A41" s="68" t="s">
        <v>41</v>
      </c>
      <c r="B41" s="74">
        <f>B40/(1+C96)^0</f>
        <v>-17</v>
      </c>
      <c r="C41" s="88">
        <f>C40/(1+C96)^1</f>
        <v>24.34287697</v>
      </c>
      <c r="D41" s="86">
        <f>D40/(1+C96)^2</f>
        <v>25.92229611</v>
      </c>
      <c r="E41" s="88">
        <f>E40/(1+C96)^3</f>
        <v>24.29276787</v>
      </c>
      <c r="F41" s="88">
        <f>F40/(1+C96)^4</f>
        <v>26.02779173</v>
      </c>
      <c r="G41" s="88">
        <f>G40/(1+C96)^5</f>
        <v>244.0421616</v>
      </c>
    </row>
    <row r="42" ht="15.75" customHeight="1">
      <c r="A42" s="68"/>
      <c r="B42" s="74"/>
      <c r="C42" s="74"/>
      <c r="D42" s="74"/>
      <c r="E42" s="74"/>
      <c r="F42" s="74"/>
      <c r="G42" s="74"/>
    </row>
    <row r="43" ht="15.75" customHeight="1">
      <c r="A43" s="89" t="s">
        <v>42</v>
      </c>
      <c r="B43" s="74">
        <f t="array" ref="B43">NPV(20%,C38:G38)+B38</f>
        <v>118.1583722</v>
      </c>
      <c r="C43" s="74"/>
      <c r="D43" s="74"/>
      <c r="E43" s="74"/>
      <c r="F43" s="74"/>
      <c r="G43" s="74"/>
    </row>
    <row r="44" ht="15.75" customHeight="1">
      <c r="A44" s="76" t="s">
        <v>43</v>
      </c>
      <c r="B44" s="90">
        <f>IRR(B40:G40,20%)</f>
        <v>2.13900342</v>
      </c>
      <c r="C44" s="91"/>
      <c r="D44" s="91"/>
      <c r="E44" s="91"/>
      <c r="F44" s="91"/>
    </row>
    <row r="45" ht="15.75" customHeight="1">
      <c r="A45" s="76"/>
      <c r="B45" s="91"/>
      <c r="C45" s="91"/>
      <c r="D45" s="76"/>
      <c r="E45" s="76"/>
    </row>
    <row r="46" ht="15.75" customHeight="1">
      <c r="A46" s="76"/>
      <c r="B46" s="76"/>
      <c r="C46" s="76"/>
      <c r="D46" s="76"/>
      <c r="E46" s="76"/>
    </row>
    <row r="47" ht="15.75" customHeight="1">
      <c r="A47" s="76"/>
      <c r="B47" s="76"/>
      <c r="C47" s="76"/>
      <c r="D47" s="76"/>
      <c r="E47" s="76"/>
    </row>
    <row r="48" ht="15.75" customHeight="1">
      <c r="A48" s="68" t="s">
        <v>38</v>
      </c>
      <c r="B48" s="68">
        <f t="shared" ref="B48:G48" si="18">B38</f>
        <v>-17</v>
      </c>
      <c r="C48" s="74">
        <f t="shared" si="18"/>
        <v>29.21145236</v>
      </c>
      <c r="D48" s="74">
        <f t="shared" si="18"/>
        <v>37.3281064</v>
      </c>
      <c r="E48" s="74">
        <f t="shared" si="18"/>
        <v>41.97790288</v>
      </c>
      <c r="F48" s="74">
        <f t="shared" si="18"/>
        <v>53.97122894</v>
      </c>
      <c r="G48" s="74">
        <f t="shared" si="18"/>
        <v>86.02779048</v>
      </c>
    </row>
    <row r="49" ht="15.75" customHeight="1">
      <c r="A49" s="76" t="s">
        <v>44</v>
      </c>
      <c r="B49" s="76">
        <f>B48</f>
        <v>-17</v>
      </c>
      <c r="C49" s="91">
        <f>B48+C48</f>
        <v>12.21145236</v>
      </c>
      <c r="D49" s="91">
        <f t="shared" ref="D49:G49" si="19">C49+D48</f>
        <v>49.53955876</v>
      </c>
      <c r="E49" s="91">
        <f t="shared" si="19"/>
        <v>91.51746164</v>
      </c>
      <c r="F49" s="91">
        <f t="shared" si="19"/>
        <v>145.4886906</v>
      </c>
      <c r="G49" s="91">
        <f t="shared" si="19"/>
        <v>231.5164811</v>
      </c>
    </row>
    <row r="50" ht="15.75" customHeight="1">
      <c r="A50" s="76" t="s">
        <v>45</v>
      </c>
      <c r="B50" s="76">
        <f>0-(B49/C48)</f>
        <v>0.5819635323</v>
      </c>
      <c r="C50" s="76"/>
      <c r="D50" s="76"/>
      <c r="E50" s="76"/>
    </row>
    <row r="51" ht="15.75" customHeight="1">
      <c r="A51" s="76"/>
      <c r="B51" s="76"/>
      <c r="C51" s="76"/>
      <c r="D51" s="76"/>
      <c r="E51" s="76"/>
    </row>
    <row r="52" ht="15.75" customHeight="1">
      <c r="A52" s="76"/>
      <c r="B52" s="76"/>
      <c r="C52" s="76"/>
      <c r="D52" s="76"/>
      <c r="E52" s="76"/>
    </row>
    <row r="53" ht="15.75" customHeight="1">
      <c r="A53" s="76"/>
      <c r="B53" s="76"/>
      <c r="C53" s="76"/>
      <c r="D53" s="76"/>
      <c r="E53" s="76"/>
    </row>
    <row r="54" ht="15.75" customHeight="1">
      <c r="A54" s="92" t="s">
        <v>46</v>
      </c>
      <c r="B54" s="92"/>
      <c r="C54" s="92" t="s">
        <v>47</v>
      </c>
      <c r="D54" s="92" t="s">
        <v>48</v>
      </c>
      <c r="E54" s="92" t="s">
        <v>49</v>
      </c>
      <c r="G54" s="93"/>
      <c r="H54" s="94"/>
      <c r="I54" s="94"/>
      <c r="J54" s="94"/>
      <c r="K54" s="93"/>
    </row>
    <row r="55" ht="15.75" customHeight="1">
      <c r="A55" s="76" t="s">
        <v>50</v>
      </c>
      <c r="B55" s="82"/>
      <c r="C55" s="82">
        <v>1.0</v>
      </c>
      <c r="D55" s="79">
        <v>200000.0</v>
      </c>
      <c r="E55" s="79">
        <f t="shared" ref="E55:E61" si="20">(D55*C55)</f>
        <v>200000</v>
      </c>
      <c r="G55" s="76"/>
      <c r="H55" s="76"/>
      <c r="I55" s="82"/>
      <c r="J55" s="82"/>
      <c r="K55" s="82"/>
    </row>
    <row r="56" ht="15.75" customHeight="1">
      <c r="A56" s="76" t="s">
        <v>51</v>
      </c>
      <c r="B56" s="82"/>
      <c r="C56" s="82">
        <v>1.0</v>
      </c>
      <c r="D56" s="79">
        <v>250000.0</v>
      </c>
      <c r="E56" s="79">
        <f t="shared" si="20"/>
        <v>250000</v>
      </c>
      <c r="G56" s="95"/>
      <c r="H56" s="82"/>
      <c r="I56" s="82"/>
      <c r="J56" s="82"/>
      <c r="K56" s="82"/>
    </row>
    <row r="57" ht="15.75" customHeight="1">
      <c r="A57" s="76" t="s">
        <v>52</v>
      </c>
      <c r="B57" s="82"/>
      <c r="C57" s="82">
        <v>1.0</v>
      </c>
      <c r="D57" s="79">
        <v>150000.0</v>
      </c>
      <c r="E57" s="79">
        <f t="shared" si="20"/>
        <v>150000</v>
      </c>
      <c r="G57" s="95"/>
      <c r="H57" s="82"/>
      <c r="I57" s="82"/>
      <c r="J57" s="82"/>
      <c r="K57" s="82"/>
    </row>
    <row r="58" ht="15.75" customHeight="1">
      <c r="A58" s="76" t="s">
        <v>53</v>
      </c>
      <c r="B58" s="82"/>
      <c r="C58" s="82">
        <v>1.0</v>
      </c>
      <c r="D58" s="79">
        <v>180000.0</v>
      </c>
      <c r="E58" s="79">
        <f t="shared" si="20"/>
        <v>180000</v>
      </c>
      <c r="G58" s="95"/>
      <c r="H58" s="82"/>
      <c r="I58" s="82"/>
      <c r="J58" s="82"/>
      <c r="K58" s="82"/>
    </row>
    <row r="59" ht="15.75" customHeight="1">
      <c r="A59" s="76" t="s">
        <v>54</v>
      </c>
      <c r="B59" s="82"/>
      <c r="C59" s="82">
        <v>1.0</v>
      </c>
      <c r="D59" s="79">
        <v>200000.0</v>
      </c>
      <c r="E59" s="79">
        <f t="shared" si="20"/>
        <v>200000</v>
      </c>
      <c r="G59" s="76"/>
      <c r="H59" s="76"/>
      <c r="I59" s="76"/>
      <c r="J59" s="96"/>
      <c r="K59" s="97"/>
    </row>
    <row r="60" ht="15.75" customHeight="1">
      <c r="A60" s="76" t="s">
        <v>55</v>
      </c>
      <c r="B60" s="82"/>
      <c r="C60" s="82">
        <v>1.0</v>
      </c>
      <c r="D60" s="79">
        <v>120000.0</v>
      </c>
      <c r="E60" s="79">
        <f t="shared" si="20"/>
        <v>120000</v>
      </c>
      <c r="G60" s="76"/>
      <c r="H60" s="76"/>
      <c r="I60" s="76"/>
      <c r="J60" s="76"/>
      <c r="K60" s="82"/>
    </row>
    <row r="61" ht="15.75" customHeight="1">
      <c r="A61" s="76" t="s">
        <v>56</v>
      </c>
      <c r="B61" s="82"/>
      <c r="C61" s="82">
        <v>1.0</v>
      </c>
      <c r="D61" s="79">
        <v>200000.0</v>
      </c>
      <c r="E61" s="79">
        <f t="shared" si="20"/>
        <v>200000</v>
      </c>
      <c r="G61" s="76"/>
      <c r="H61" s="76"/>
      <c r="I61" s="76"/>
      <c r="J61" s="76"/>
      <c r="K61" s="82"/>
    </row>
    <row r="62" ht="15.75" customHeight="1">
      <c r="A62" s="98" t="s">
        <v>57</v>
      </c>
      <c r="B62" s="76"/>
      <c r="C62" s="76"/>
      <c r="D62" s="76"/>
      <c r="E62" s="99">
        <f>(E55+E56+E57+E58+E59+E60+E61)</f>
        <v>1300000</v>
      </c>
    </row>
    <row r="63" ht="15.75" customHeight="1">
      <c r="A63" s="76"/>
      <c r="B63" s="76"/>
      <c r="C63" s="76"/>
      <c r="D63" s="76" t="s">
        <v>58</v>
      </c>
      <c r="E63" s="79">
        <f>(E62*12)</f>
        <v>15600000</v>
      </c>
    </row>
    <row r="64" ht="15.75" customHeight="1"/>
    <row r="65" ht="15.75" customHeight="1">
      <c r="A65" s="100" t="s">
        <v>59</v>
      </c>
      <c r="B65" s="101"/>
      <c r="C65" s="101" t="s">
        <v>60</v>
      </c>
      <c r="E65" s="101" t="s">
        <v>61</v>
      </c>
      <c r="G65" s="102" t="s">
        <v>62</v>
      </c>
      <c r="I65" s="101" t="s">
        <v>63</v>
      </c>
    </row>
    <row r="66" ht="15.75" customHeight="1">
      <c r="A66" s="92" t="s">
        <v>46</v>
      </c>
      <c r="B66" s="92"/>
      <c r="C66" s="92" t="s">
        <v>64</v>
      </c>
      <c r="D66" s="92" t="s">
        <v>49</v>
      </c>
      <c r="E66" s="92" t="s">
        <v>65</v>
      </c>
      <c r="F66" s="92" t="s">
        <v>49</v>
      </c>
      <c r="G66" s="103"/>
      <c r="H66" s="92" t="s">
        <v>49</v>
      </c>
      <c r="I66" s="92" t="s">
        <v>64</v>
      </c>
      <c r="J66" s="92" t="s">
        <v>49</v>
      </c>
    </row>
    <row r="67" ht="15.75" customHeight="1">
      <c r="A67" s="76" t="s">
        <v>50</v>
      </c>
      <c r="B67" s="82"/>
      <c r="C67" s="82">
        <v>1.0</v>
      </c>
      <c r="D67" s="79">
        <f t="shared" ref="D67:D73" si="21">(E55*C67*1.13)</f>
        <v>226000</v>
      </c>
      <c r="E67" s="82">
        <v>2.0</v>
      </c>
      <c r="F67" s="79">
        <f t="shared" ref="F67:F73" si="22">(D67*E67*1.13)</f>
        <v>510760</v>
      </c>
      <c r="G67" s="82">
        <v>2.0</v>
      </c>
      <c r="H67" s="79">
        <f>(F67*1.13)</f>
        <v>577158.8</v>
      </c>
      <c r="I67" s="82">
        <v>2.0</v>
      </c>
      <c r="J67" s="79">
        <f>(H67*1.13)</f>
        <v>652189.444</v>
      </c>
    </row>
    <row r="68" ht="15.75" customHeight="1">
      <c r="A68" s="76" t="s">
        <v>51</v>
      </c>
      <c r="B68" s="82"/>
      <c r="C68" s="82">
        <v>1.0</v>
      </c>
      <c r="D68" s="79">
        <f t="shared" si="21"/>
        <v>282500</v>
      </c>
      <c r="E68" s="82">
        <v>1.0</v>
      </c>
      <c r="F68" s="79">
        <f t="shared" si="22"/>
        <v>319225</v>
      </c>
      <c r="G68" s="82">
        <v>1.0</v>
      </c>
      <c r="H68" s="82">
        <f t="shared" ref="H68:H72" si="23">(F68*G68*1.13)</f>
        <v>360724.25</v>
      </c>
      <c r="I68" s="82">
        <v>1.0</v>
      </c>
      <c r="J68" s="79">
        <f t="shared" ref="J68:J72" si="24">(H68*I68*1.13)</f>
        <v>407618.4025</v>
      </c>
    </row>
    <row r="69" ht="15.75" customHeight="1">
      <c r="A69" s="76" t="s">
        <v>52</v>
      </c>
      <c r="B69" s="82"/>
      <c r="C69" s="82">
        <v>1.0</v>
      </c>
      <c r="D69" s="79">
        <f t="shared" si="21"/>
        <v>169500</v>
      </c>
      <c r="E69" s="82">
        <v>1.0</v>
      </c>
      <c r="F69" s="79">
        <f t="shared" si="22"/>
        <v>191535</v>
      </c>
      <c r="G69" s="82">
        <v>1.0</v>
      </c>
      <c r="H69" s="82">
        <f t="shared" si="23"/>
        <v>216434.55</v>
      </c>
      <c r="I69" s="82">
        <v>1.0</v>
      </c>
      <c r="J69" s="79">
        <f t="shared" si="24"/>
        <v>244571.0415</v>
      </c>
    </row>
    <row r="70" ht="15.75" customHeight="1">
      <c r="A70" s="76" t="s">
        <v>53</v>
      </c>
      <c r="B70" s="82"/>
      <c r="C70" s="82">
        <v>1.0</v>
      </c>
      <c r="D70" s="79">
        <f t="shared" si="21"/>
        <v>203400</v>
      </c>
      <c r="E70" s="82">
        <v>1.0</v>
      </c>
      <c r="F70" s="79">
        <f t="shared" si="22"/>
        <v>229842</v>
      </c>
      <c r="G70" s="82">
        <v>1.0</v>
      </c>
      <c r="H70" s="82">
        <f t="shared" si="23"/>
        <v>259721.46</v>
      </c>
      <c r="I70" s="82">
        <v>1.0</v>
      </c>
      <c r="J70" s="79">
        <f t="shared" si="24"/>
        <v>293485.2498</v>
      </c>
    </row>
    <row r="71" ht="15.75" customHeight="1">
      <c r="A71" s="76" t="s">
        <v>54</v>
      </c>
      <c r="B71" s="82"/>
      <c r="C71" s="82">
        <v>1.0</v>
      </c>
      <c r="D71" s="79">
        <f t="shared" si="21"/>
        <v>226000</v>
      </c>
      <c r="E71" s="82">
        <v>1.0</v>
      </c>
      <c r="F71" s="79">
        <f t="shared" si="22"/>
        <v>255380</v>
      </c>
      <c r="G71" s="82">
        <v>1.0</v>
      </c>
      <c r="H71" s="79">
        <f t="shared" si="23"/>
        <v>288579.4</v>
      </c>
      <c r="I71" s="82">
        <v>1.0</v>
      </c>
      <c r="J71" s="79">
        <f t="shared" si="24"/>
        <v>326094.722</v>
      </c>
    </row>
    <row r="72" ht="15.75" customHeight="1">
      <c r="A72" s="76" t="s">
        <v>55</v>
      </c>
      <c r="B72" s="82"/>
      <c r="C72" s="82">
        <v>1.0</v>
      </c>
      <c r="D72" s="79">
        <f t="shared" si="21"/>
        <v>135600</v>
      </c>
      <c r="E72" s="82">
        <v>1.0</v>
      </c>
      <c r="F72" s="79">
        <f t="shared" si="22"/>
        <v>153228</v>
      </c>
      <c r="G72" s="82">
        <v>1.0</v>
      </c>
      <c r="H72" s="82">
        <f t="shared" si="23"/>
        <v>173147.64</v>
      </c>
      <c r="I72" s="82">
        <v>1.0</v>
      </c>
      <c r="J72" s="79">
        <f t="shared" si="24"/>
        <v>195656.8332</v>
      </c>
    </row>
    <row r="73" ht="15.75" customHeight="1">
      <c r="A73" s="76" t="s">
        <v>56</v>
      </c>
      <c r="B73" s="82"/>
      <c r="C73" s="82">
        <v>1.0</v>
      </c>
      <c r="D73" s="79">
        <f t="shared" si="21"/>
        <v>226000</v>
      </c>
      <c r="E73" s="82">
        <v>2.0</v>
      </c>
      <c r="F73" s="79">
        <f t="shared" si="22"/>
        <v>510760</v>
      </c>
      <c r="G73" s="82">
        <v>2.0</v>
      </c>
      <c r="H73" s="79">
        <f>F73*1.13</f>
        <v>577158.8</v>
      </c>
      <c r="I73" s="82">
        <v>2.0</v>
      </c>
      <c r="J73" s="79">
        <f>H73*1.13</f>
        <v>652189.444</v>
      </c>
    </row>
    <row r="74" ht="15.75" customHeight="1">
      <c r="A74" s="98" t="s">
        <v>57</v>
      </c>
      <c r="B74" s="76"/>
      <c r="C74" s="76"/>
      <c r="D74" s="99">
        <f>(D67+D68+D69+D70+D71+D72+D73)</f>
        <v>1469000</v>
      </c>
      <c r="E74" s="76"/>
      <c r="F74" s="99">
        <f>(F67+F68+F69+F70+F71+F72+F73)</f>
        <v>2170730</v>
      </c>
      <c r="G74" s="76"/>
      <c r="H74" s="99">
        <f>(H67+H68+H69+H70+H71+H72+H73)</f>
        <v>2452924.9</v>
      </c>
      <c r="I74" s="76"/>
      <c r="J74" s="99">
        <f>(J67+J68+J69+J70+J71+J72+J73)</f>
        <v>2771805.137</v>
      </c>
    </row>
    <row r="75" ht="15.75" customHeight="1">
      <c r="A75" s="75" t="s">
        <v>58</v>
      </c>
      <c r="B75" s="76"/>
      <c r="C75" s="76"/>
      <c r="D75" s="79">
        <f>(D74*12)</f>
        <v>17628000</v>
      </c>
      <c r="E75" s="76"/>
      <c r="F75" s="79">
        <f>(F74*12)</f>
        <v>26048760</v>
      </c>
      <c r="G75" s="76"/>
      <c r="H75" s="79">
        <f>(H74*12)</f>
        <v>29435098.8</v>
      </c>
      <c r="I75" s="76"/>
      <c r="J75" s="82">
        <f>(J74*12)</f>
        <v>33261661.64</v>
      </c>
    </row>
    <row r="76" ht="15.75" customHeight="1"/>
    <row r="77" ht="15.75" customHeight="1"/>
    <row r="78" ht="15.75" customHeight="1">
      <c r="D78" s="104"/>
      <c r="E78" s="104"/>
      <c r="F78" s="104"/>
    </row>
    <row r="79" ht="15.75" customHeight="1">
      <c r="D79" s="105"/>
      <c r="E79" s="105"/>
      <c r="F79" s="105"/>
    </row>
    <row r="80" ht="15.75" customHeight="1">
      <c r="A80" s="106" t="s">
        <v>66</v>
      </c>
      <c r="B80" s="106"/>
      <c r="C80" s="106" t="s">
        <v>67</v>
      </c>
      <c r="D80" s="105"/>
      <c r="E80" s="105"/>
      <c r="F80" s="105"/>
    </row>
    <row r="81" ht="15.75" customHeight="1">
      <c r="A81" s="107">
        <v>40.0</v>
      </c>
      <c r="B81" s="108"/>
      <c r="C81" s="108">
        <v>18401.64</v>
      </c>
      <c r="D81" s="105"/>
      <c r="E81" s="105"/>
      <c r="F81" s="105"/>
    </row>
    <row r="82" ht="15.75" customHeight="1"/>
    <row r="83" ht="15.75" customHeight="1">
      <c r="A83" s="92" t="s">
        <v>68</v>
      </c>
      <c r="B83" s="75"/>
      <c r="C83" s="75"/>
      <c r="D83" s="75"/>
    </row>
    <row r="84" ht="15.75" customHeight="1">
      <c r="A84" s="76" t="s">
        <v>69</v>
      </c>
      <c r="B84" s="68"/>
      <c r="C84" s="68">
        <v>1300000.0</v>
      </c>
      <c r="D84" s="76"/>
    </row>
    <row r="85" ht="15.75" customHeight="1">
      <c r="A85" s="76" t="s">
        <v>70</v>
      </c>
      <c r="B85" s="83"/>
      <c r="C85" s="83">
        <v>0.13</v>
      </c>
      <c r="D85" s="109"/>
      <c r="H85" s="110" t="s">
        <v>71</v>
      </c>
    </row>
    <row r="86" ht="15.75" customHeight="1">
      <c r="A86" s="76" t="s">
        <v>72</v>
      </c>
      <c r="B86" s="83"/>
      <c r="C86" s="83">
        <v>0.13</v>
      </c>
      <c r="D86" s="76"/>
    </row>
    <row r="87" ht="15.75" customHeight="1">
      <c r="A87" s="76" t="s">
        <v>73</v>
      </c>
      <c r="B87" s="79"/>
      <c r="C87" s="79">
        <v>1.7E7</v>
      </c>
      <c r="D87" s="76"/>
    </row>
    <row r="88" ht="15.75" customHeight="1">
      <c r="A88" s="76" t="s">
        <v>74</v>
      </c>
      <c r="B88" s="83"/>
      <c r="C88" s="83">
        <v>0.1</v>
      </c>
      <c r="D88" s="76"/>
      <c r="H88" s="110" t="s">
        <v>75</v>
      </c>
    </row>
    <row r="89" ht="15.75" customHeight="1">
      <c r="A89" s="111" t="s">
        <v>76</v>
      </c>
      <c r="B89" s="105"/>
      <c r="C89" s="105">
        <v>580000.0</v>
      </c>
      <c r="H89" s="110" t="s">
        <v>77</v>
      </c>
    </row>
    <row r="90" ht="15.75" customHeight="1">
      <c r="A90" s="111" t="s">
        <v>78</v>
      </c>
      <c r="B90" s="105"/>
      <c r="C90" s="105" t="s">
        <v>79</v>
      </c>
      <c r="H90" s="110" t="s">
        <v>80</v>
      </c>
    </row>
    <row r="91" ht="15.75" customHeight="1">
      <c r="A91" s="111" t="s">
        <v>81</v>
      </c>
      <c r="B91" s="112"/>
      <c r="C91" s="112">
        <v>0.15</v>
      </c>
      <c r="H91" s="110" t="s">
        <v>82</v>
      </c>
    </row>
    <row r="92" ht="15.75" customHeight="1">
      <c r="A92" s="111" t="s">
        <v>96</v>
      </c>
      <c r="B92" s="105"/>
      <c r="C92" s="105">
        <v>13050.0</v>
      </c>
      <c r="D92" s="107">
        <f t="shared" ref="D92:G92" si="25">(C92*1.23)</f>
        <v>16051.5</v>
      </c>
      <c r="E92" s="113">
        <f t="shared" si="25"/>
        <v>19743.345</v>
      </c>
      <c r="F92" s="113">
        <f t="shared" si="25"/>
        <v>24284.31435</v>
      </c>
      <c r="G92" s="113">
        <f t="shared" si="25"/>
        <v>29869.70665</v>
      </c>
    </row>
    <row r="93" ht="15.75" customHeight="1">
      <c r="A93" s="111" t="s">
        <v>87</v>
      </c>
      <c r="B93" s="112"/>
      <c r="C93" s="112"/>
      <c r="D93" s="107"/>
      <c r="E93" s="113"/>
      <c r="F93" s="113"/>
      <c r="G93" s="113"/>
      <c r="H93" s="110" t="s">
        <v>88</v>
      </c>
    </row>
    <row r="94" ht="15.75" customHeight="1">
      <c r="A94" s="68" t="s">
        <v>89</v>
      </c>
      <c r="B94" s="74"/>
      <c r="C94" s="74">
        <f>C81</f>
        <v>18401.64</v>
      </c>
      <c r="D94" s="74">
        <f>C81</f>
        <v>18401.64</v>
      </c>
      <c r="E94" s="74">
        <f>C81</f>
        <v>18401.64</v>
      </c>
      <c r="F94" s="74">
        <f>C81</f>
        <v>18401.64</v>
      </c>
      <c r="G94" s="74">
        <f>C81</f>
        <v>18401.64</v>
      </c>
    </row>
    <row r="95" ht="15.75" customHeight="1">
      <c r="A95" s="68" t="s">
        <v>22</v>
      </c>
      <c r="C95" s="74">
        <f>C17+C18+C19</f>
        <v>-192.1131216</v>
      </c>
    </row>
    <row r="96" ht="15.75" customHeight="1">
      <c r="A96" s="68" t="s">
        <v>90</v>
      </c>
      <c r="C96" s="114">
        <v>0.2</v>
      </c>
    </row>
    <row r="97" ht="15.75" customHeight="1">
      <c r="A97" s="68" t="s">
        <v>91</v>
      </c>
      <c r="B97" s="74"/>
      <c r="C97" s="114">
        <v>0.03</v>
      </c>
    </row>
    <row r="98" ht="15.75" customHeight="1"/>
    <row r="99" ht="15.75" customHeight="1">
      <c r="B99" s="114"/>
      <c r="C99" s="114"/>
    </row>
    <row r="100" ht="15.75" customHeight="1">
      <c r="B100" s="114"/>
      <c r="C100" s="114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C1:I1"/>
    <mergeCell ref="C65:D65"/>
    <mergeCell ref="E65:F65"/>
    <mergeCell ref="G65:H65"/>
    <mergeCell ref="I65:J65"/>
  </mergeCells>
  <hyperlinks>
    <hyperlink r:id="rId1" ref="H85"/>
    <hyperlink r:id="rId2" ref="H88"/>
    <hyperlink r:id="rId3" ref="H89"/>
    <hyperlink r:id="rId4" ref="H90"/>
    <hyperlink r:id="rId5" ref="H91"/>
    <hyperlink r:id="rId6" ref="H93"/>
  </hyperlinks>
  <drawing r:id="rId7"/>
</worksheet>
</file>