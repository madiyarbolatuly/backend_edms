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oldir.kaiynbayeva\Downloads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1" i="1" l="1"/>
  <c r="G113" i="1"/>
  <c r="D113" i="1"/>
  <c r="E113" i="1"/>
  <c r="F113" i="1"/>
  <c r="C113" i="1"/>
  <c r="D128" i="1" s="1"/>
  <c r="G49" i="1"/>
  <c r="C86" i="1"/>
  <c r="C95" i="1" s="1"/>
  <c r="D104" i="1"/>
  <c r="E104" i="1"/>
  <c r="F104" i="1"/>
  <c r="G104" i="1"/>
  <c r="D105" i="1"/>
  <c r="E105" i="1"/>
  <c r="F105" i="1"/>
  <c r="G105" i="1"/>
  <c r="D106" i="1"/>
  <c r="E106" i="1"/>
  <c r="F106" i="1"/>
  <c r="G106" i="1"/>
  <c r="D107" i="1"/>
  <c r="E107" i="1"/>
  <c r="F107" i="1"/>
  <c r="G107" i="1"/>
  <c r="C107" i="1"/>
  <c r="C106" i="1"/>
  <c r="C105" i="1"/>
  <c r="C104" i="1"/>
  <c r="C114" i="1"/>
  <c r="D114" i="1" s="1"/>
  <c r="E114" i="1" s="1"/>
  <c r="F114" i="1" s="1"/>
  <c r="G114" i="1" s="1"/>
  <c r="H129" i="1" s="1"/>
  <c r="C115" i="1"/>
  <c r="D115" i="1" s="1"/>
  <c r="E115" i="1" s="1"/>
  <c r="F115" i="1" s="1"/>
  <c r="G115" i="1" s="1"/>
  <c r="H130" i="1" s="1"/>
  <c r="D86" i="1"/>
  <c r="E86" i="1"/>
  <c r="F86" i="1"/>
  <c r="G86" i="1"/>
  <c r="D87" i="1"/>
  <c r="E87" i="1"/>
  <c r="F87" i="1"/>
  <c r="G87" i="1"/>
  <c r="D88" i="1"/>
  <c r="E88" i="1"/>
  <c r="F88" i="1"/>
  <c r="G88" i="1"/>
  <c r="D89" i="1"/>
  <c r="E89" i="1"/>
  <c r="F89" i="1"/>
  <c r="G89" i="1"/>
  <c r="C89" i="1"/>
  <c r="C98" i="1" s="1"/>
  <c r="C88" i="1"/>
  <c r="C97" i="1" s="1"/>
  <c r="C87" i="1"/>
  <c r="C96" i="1" s="1"/>
  <c r="C49" i="1"/>
  <c r="C57" i="1"/>
  <c r="D57" i="1" s="1"/>
  <c r="C56" i="1"/>
  <c r="D56" i="1" s="1"/>
  <c r="C55" i="1"/>
  <c r="D55" i="1" s="1"/>
  <c r="D49" i="1"/>
  <c r="E49" i="1"/>
  <c r="F49" i="1"/>
  <c r="D50" i="1"/>
  <c r="E50" i="1"/>
  <c r="F50" i="1"/>
  <c r="G50" i="1"/>
  <c r="D51" i="1"/>
  <c r="E51" i="1"/>
  <c r="F51" i="1"/>
  <c r="G51" i="1"/>
  <c r="C50" i="1"/>
  <c r="G130" i="1" l="1"/>
  <c r="F130" i="1"/>
  <c r="E130" i="1"/>
  <c r="G129" i="1"/>
  <c r="D129" i="1"/>
  <c r="F129" i="1"/>
  <c r="D130" i="1"/>
  <c r="E129" i="1"/>
  <c r="C116" i="1"/>
  <c r="D96" i="1"/>
  <c r="E96" i="1" s="1"/>
  <c r="F96" i="1" s="1"/>
  <c r="G96" i="1" s="1"/>
  <c r="E128" i="1"/>
  <c r="G90" i="1"/>
  <c r="D97" i="1"/>
  <c r="E97" i="1" s="1"/>
  <c r="F97" i="1" s="1"/>
  <c r="G97" i="1" s="1"/>
  <c r="E90" i="1"/>
  <c r="D90" i="1"/>
  <c r="D108" i="1"/>
  <c r="E126" i="1" s="1"/>
  <c r="D95" i="1"/>
  <c r="E95" i="1" s="1"/>
  <c r="F95" i="1" s="1"/>
  <c r="G95" i="1" s="1"/>
  <c r="F90" i="1"/>
  <c r="C90" i="1"/>
  <c r="D98" i="1"/>
  <c r="E98" i="1" s="1"/>
  <c r="F98" i="1" s="1"/>
  <c r="G98" i="1" s="1"/>
  <c r="F108" i="1"/>
  <c r="G126" i="1" s="1"/>
  <c r="E108" i="1"/>
  <c r="F126" i="1" s="1"/>
  <c r="C99" i="1"/>
  <c r="D127" i="1" s="1"/>
  <c r="C62" i="1"/>
  <c r="C70" i="1" s="1"/>
  <c r="C108" i="1"/>
  <c r="D126" i="1" s="1"/>
  <c r="G108" i="1"/>
  <c r="H126" i="1" s="1"/>
  <c r="C63" i="1"/>
  <c r="C71" i="1" s="1"/>
  <c r="C64" i="1"/>
  <c r="D62" i="1"/>
  <c r="E55" i="1"/>
  <c r="F55" i="1" s="1"/>
  <c r="G55" i="1" s="1"/>
  <c r="G62" i="1" s="1"/>
  <c r="D63" i="1"/>
  <c r="E56" i="1"/>
  <c r="E57" i="1"/>
  <c r="F57" i="1" s="1"/>
  <c r="G57" i="1" s="1"/>
  <c r="G64" i="1" s="1"/>
  <c r="D64" i="1"/>
  <c r="D131" i="1" l="1"/>
  <c r="C78" i="1"/>
  <c r="G70" i="1"/>
  <c r="G78" i="1"/>
  <c r="D70" i="1"/>
  <c r="D78" i="1"/>
  <c r="C72" i="1"/>
  <c r="C80" i="1"/>
  <c r="C79" i="1"/>
  <c r="D71" i="1"/>
  <c r="D79" i="1"/>
  <c r="D72" i="1"/>
  <c r="D80" i="1"/>
  <c r="G72" i="1"/>
  <c r="G80" i="1"/>
  <c r="D116" i="1"/>
  <c r="F128" i="1"/>
  <c r="G99" i="1"/>
  <c r="H127" i="1" s="1"/>
  <c r="D99" i="1"/>
  <c r="E127" i="1" s="1"/>
  <c r="E99" i="1"/>
  <c r="F127" i="1" s="1"/>
  <c r="F99" i="1"/>
  <c r="G127" i="1" s="1"/>
  <c r="E64" i="1"/>
  <c r="F64" i="1"/>
  <c r="E62" i="1"/>
  <c r="F56" i="1"/>
  <c r="E63" i="1"/>
  <c r="F62" i="1"/>
  <c r="D73" i="1" l="1"/>
  <c r="E122" i="1" s="1"/>
  <c r="F131" i="1"/>
  <c r="E131" i="1"/>
  <c r="D81" i="1"/>
  <c r="E123" i="1" s="1"/>
  <c r="C81" i="1"/>
  <c r="D123" i="1" s="1"/>
  <c r="C73" i="1"/>
  <c r="D122" i="1" s="1"/>
  <c r="F72" i="1"/>
  <c r="F80" i="1"/>
  <c r="E70" i="1"/>
  <c r="E78" i="1"/>
  <c r="E72" i="1"/>
  <c r="E80" i="1"/>
  <c r="F70" i="1"/>
  <c r="F78" i="1"/>
  <c r="E71" i="1"/>
  <c r="E79" i="1"/>
  <c r="E116" i="1"/>
  <c r="G128" i="1"/>
  <c r="G131" i="1" s="1"/>
  <c r="G56" i="1"/>
  <c r="G63" i="1" s="1"/>
  <c r="F63" i="1"/>
  <c r="E73" i="1" l="1"/>
  <c r="D124" i="1"/>
  <c r="D132" i="1" s="1"/>
  <c r="D133" i="1" s="1"/>
  <c r="D134" i="1" s="1"/>
  <c r="E124" i="1"/>
  <c r="E132" i="1" s="1"/>
  <c r="E133" i="1" s="1"/>
  <c r="E134" i="1" s="1"/>
  <c r="E81" i="1"/>
  <c r="F123" i="1" s="1"/>
  <c r="G71" i="1"/>
  <c r="G73" i="1" s="1"/>
  <c r="G79" i="1"/>
  <c r="G81" i="1" s="1"/>
  <c r="H123" i="1" s="1"/>
  <c r="F71" i="1"/>
  <c r="F73" i="1" s="1"/>
  <c r="F79" i="1"/>
  <c r="F81" i="1" s="1"/>
  <c r="G123" i="1" s="1"/>
  <c r="F116" i="1"/>
  <c r="F122" i="1" l="1"/>
  <c r="F124" i="1" s="1"/>
  <c r="F132" i="1" s="1"/>
  <c r="F133" i="1" s="1"/>
  <c r="F134" i="1" s="1"/>
  <c r="G116" i="1"/>
  <c r="H128" i="1"/>
  <c r="H131" i="1" s="1"/>
  <c r="G122" i="1"/>
  <c r="G124" i="1" s="1"/>
  <c r="G132" i="1" s="1"/>
  <c r="H122" i="1"/>
  <c r="H124" i="1" s="1"/>
  <c r="H132" i="1" l="1"/>
  <c r="H133" i="1" s="1"/>
  <c r="H134" i="1" s="1"/>
  <c r="G133" i="1"/>
  <c r="G134" i="1" s="1"/>
</calcChain>
</file>

<file path=xl/sharedStrings.xml><?xml version="1.0" encoding="utf-8"?>
<sst xmlns="http://schemas.openxmlformats.org/spreadsheetml/2006/main" count="169" uniqueCount="59">
  <si>
    <t>Item</t>
  </si>
  <si>
    <t>Year 1</t>
  </si>
  <si>
    <t>Year 2</t>
  </si>
  <si>
    <t>Year 3</t>
  </si>
  <si>
    <t>Year 4</t>
  </si>
  <si>
    <t>Year 5</t>
  </si>
  <si>
    <t>T-shirt</t>
  </si>
  <si>
    <t>Hoodie</t>
  </si>
  <si>
    <t>Bomber</t>
  </si>
  <si>
    <t>Top management</t>
  </si>
  <si>
    <t>Accountant</t>
  </si>
  <si>
    <t>Salesperson</t>
  </si>
  <si>
    <t>Boutiques</t>
  </si>
  <si>
    <t>Online</t>
  </si>
  <si>
    <t>Days in a year</t>
  </si>
  <si>
    <t>Total number of sales</t>
  </si>
  <si>
    <t>Position</t>
  </si>
  <si>
    <t>Marketing and PR Specialist</t>
  </si>
  <si>
    <t>Fixed assets</t>
  </si>
  <si>
    <t>Computer</t>
  </si>
  <si>
    <t>Printer</t>
  </si>
  <si>
    <t>Office Furniture set</t>
  </si>
  <si>
    <t>Steam iron</t>
  </si>
  <si>
    <t>Useful life in years</t>
  </si>
  <si>
    <t>Total Sales</t>
  </si>
  <si>
    <t>Price in KZT</t>
  </si>
  <si>
    <t>CapEX</t>
  </si>
  <si>
    <t>Depreciation</t>
  </si>
  <si>
    <t>Salaries Expense</t>
  </si>
  <si>
    <t>Total</t>
  </si>
  <si>
    <t>Year 0</t>
  </si>
  <si>
    <t>Rent</t>
  </si>
  <si>
    <t>Advertising</t>
  </si>
  <si>
    <t>Other</t>
  </si>
  <si>
    <t>Tax</t>
  </si>
  <si>
    <t>Other operating expenses</t>
  </si>
  <si>
    <t>Sales</t>
  </si>
  <si>
    <t>Cost in KZT</t>
  </si>
  <si>
    <t>COGS</t>
  </si>
  <si>
    <t>Gross Profit</t>
  </si>
  <si>
    <t>Operating Expenses</t>
  </si>
  <si>
    <t>Salaries</t>
  </si>
  <si>
    <t xml:space="preserve">Rent </t>
  </si>
  <si>
    <t>Total operating expenses</t>
  </si>
  <si>
    <t>EBIT</t>
  </si>
  <si>
    <t>Taxes</t>
  </si>
  <si>
    <t>Salary in KZT</t>
  </si>
  <si>
    <t>Expense</t>
  </si>
  <si>
    <t>KZT (per month)</t>
  </si>
  <si>
    <t>Net Income</t>
  </si>
  <si>
    <t>Some useful excel functions:</t>
  </si>
  <si>
    <t>F2 - to check the formula in a cell (in some laptops you need to press fn+F2)</t>
  </si>
  <si>
    <t>F4 - to fix the formula ($)</t>
  </si>
  <si>
    <t>Ctrl+V - paste</t>
  </si>
  <si>
    <t>Ctrl+C - copy</t>
  </si>
  <si>
    <r>
      <t>Marketing &amp; PR</t>
    </r>
    <r>
      <rPr>
        <sz val="11"/>
        <color theme="1"/>
        <rFont val="Calibri"/>
        <family val="2"/>
        <scheme val="minor"/>
      </rPr>
      <t xml:space="preserve"> specialist</t>
    </r>
  </si>
  <si>
    <t>Number of sales boutique</t>
  </si>
  <si>
    <t>Number of sales online</t>
  </si>
  <si>
    <t>Income Statement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</si>
</sst>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-* #,##0\ [$₸-43F]_-;\-* #,##0\ [$₸-43F]_-;_-* &quot;-&quot;??\ [$₸-43F]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3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rgb="FF222222"/>
      <name val="Calibri"/>
      <family val="2"/>
      <scheme val="minor"/>
    </font>
    <font>
      <sz val="13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4" fillId="4" borderId="1" xfId="0" applyFont="1" applyFill="1" applyBorder="1"/>
    <xf numFmtId="165" fontId="4" fillId="4" borderId="1" xfId="0" applyNumberFormat="1" applyFont="1" applyFill="1" applyBorder="1"/>
    <xf numFmtId="0" fontId="5" fillId="0" borderId="1" xfId="0" applyFont="1" applyBorder="1" applyAlignment="1">
      <alignment vertical="center" wrapText="1"/>
    </xf>
    <xf numFmtId="165" fontId="6" fillId="0" borderId="1" xfId="1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Font="1"/>
    <xf numFmtId="0" fontId="0" fillId="2" borderId="0" xfId="0" applyFont="1" applyFill="1"/>
    <xf numFmtId="9" fontId="0" fillId="2" borderId="0" xfId="0" applyNumberFormat="1" applyFont="1" applyFill="1"/>
    <xf numFmtId="9" fontId="0" fillId="0" borderId="0" xfId="0" applyNumberFormat="1" applyFont="1"/>
    <xf numFmtId="0" fontId="7" fillId="0" borderId="1" xfId="0" applyFont="1" applyBorder="1" applyAlignment="1">
      <alignment vertical="center" wrapText="1"/>
    </xf>
    <xf numFmtId="0" fontId="0" fillId="2" borderId="1" xfId="0" applyFont="1" applyFill="1" applyBorder="1"/>
    <xf numFmtId="0" fontId="7" fillId="2" borderId="1" xfId="0" applyFont="1" applyFill="1" applyBorder="1" applyAlignment="1">
      <alignment vertical="center" wrapText="1"/>
    </xf>
    <xf numFmtId="3" fontId="7" fillId="2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164" fontId="7" fillId="0" borderId="1" xfId="1" applyNumberFormat="1" applyFont="1" applyBorder="1" applyAlignment="1">
      <alignment vertical="center" wrapText="1"/>
    </xf>
    <xf numFmtId="165" fontId="7" fillId="0" borderId="1" xfId="1" applyNumberFormat="1" applyFont="1" applyBorder="1" applyAlignment="1">
      <alignment vertical="center" wrapText="1"/>
    </xf>
    <xf numFmtId="165" fontId="7" fillId="0" borderId="0" xfId="1" applyNumberFormat="1" applyFont="1" applyBorder="1" applyAlignment="1">
      <alignment vertical="center" wrapText="1"/>
    </xf>
    <xf numFmtId="0" fontId="0" fillId="0" borderId="1" xfId="0" applyFont="1" applyBorder="1"/>
    <xf numFmtId="165" fontId="0" fillId="0" borderId="1" xfId="0" applyNumberFormat="1" applyFont="1" applyBorder="1"/>
    <xf numFmtId="0" fontId="0" fillId="3" borderId="1" xfId="0" applyFont="1" applyFill="1" applyBorder="1"/>
    <xf numFmtId="0" fontId="6" fillId="3" borderId="2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4"/>
  <sheetViews>
    <sheetView tabSelected="1" workbookViewId="0">
      <selection activeCell="F117" sqref="F117"/>
    </sheetView>
  </sheetViews>
  <sheetFormatPr defaultRowHeight="15" x14ac:dyDescent="0.25"/>
  <cols>
    <col min="1" max="1" width="9.140625" style="7"/>
    <col min="2" max="3" width="22" style="7" customWidth="1"/>
    <col min="4" max="7" width="18.5703125" style="7" bestFit="1" customWidth="1"/>
    <col min="8" max="8" width="16.85546875" style="7" bestFit="1" customWidth="1"/>
    <col min="9" max="16384" width="9.140625" style="7"/>
  </cols>
  <sheetData>
    <row r="2" spans="2:9" x14ac:dyDescent="0.25">
      <c r="B2" s="1" t="s">
        <v>14</v>
      </c>
      <c r="C2" s="8">
        <v>365</v>
      </c>
      <c r="I2" s="1" t="s">
        <v>50</v>
      </c>
    </row>
    <row r="3" spans="2:9" ht="15.75" customHeight="1" x14ac:dyDescent="0.25">
      <c r="B3" s="1" t="s">
        <v>34</v>
      </c>
      <c r="C3" s="9">
        <v>0.1</v>
      </c>
      <c r="I3" s="7" t="s">
        <v>51</v>
      </c>
    </row>
    <row r="4" spans="2:9" ht="15.75" customHeight="1" x14ac:dyDescent="0.25">
      <c r="C4" s="10"/>
      <c r="I4" s="7" t="s">
        <v>52</v>
      </c>
    </row>
    <row r="5" spans="2:9" x14ac:dyDescent="0.25">
      <c r="C5" s="1" t="s">
        <v>12</v>
      </c>
      <c r="D5" s="1" t="s">
        <v>13</v>
      </c>
      <c r="I5" s="7" t="s">
        <v>54</v>
      </c>
    </row>
    <row r="6" spans="2:9" x14ac:dyDescent="0.25">
      <c r="B6" s="11" t="s">
        <v>6</v>
      </c>
      <c r="C6" s="12">
        <v>7</v>
      </c>
      <c r="D6" s="12">
        <v>10</v>
      </c>
      <c r="I6" s="7" t="s">
        <v>53</v>
      </c>
    </row>
    <row r="7" spans="2:9" x14ac:dyDescent="0.25">
      <c r="B7" s="11" t="s">
        <v>7</v>
      </c>
      <c r="C7" s="12">
        <v>4</v>
      </c>
      <c r="D7" s="12">
        <v>7</v>
      </c>
    </row>
    <row r="8" spans="2:9" x14ac:dyDescent="0.25">
      <c r="B8" s="11" t="s">
        <v>8</v>
      </c>
      <c r="C8" s="12">
        <v>3</v>
      </c>
      <c r="D8" s="12">
        <v>5</v>
      </c>
    </row>
    <row r="11" spans="2:9" x14ac:dyDescent="0.25">
      <c r="B11" s="6" t="s">
        <v>0</v>
      </c>
      <c r="C11" s="6" t="s">
        <v>1</v>
      </c>
      <c r="D11" s="6" t="s">
        <v>2</v>
      </c>
      <c r="E11" s="6" t="s">
        <v>3</v>
      </c>
      <c r="F11" s="6" t="s">
        <v>4</v>
      </c>
      <c r="G11" s="6" t="s">
        <v>5</v>
      </c>
    </row>
    <row r="12" spans="2:9" x14ac:dyDescent="0.25">
      <c r="B12" s="11" t="s">
        <v>9</v>
      </c>
      <c r="C12" s="13">
        <v>3</v>
      </c>
      <c r="D12" s="13">
        <v>3</v>
      </c>
      <c r="E12" s="13">
        <v>4</v>
      </c>
      <c r="F12" s="13">
        <v>5</v>
      </c>
      <c r="G12" s="13">
        <v>6</v>
      </c>
    </row>
    <row r="13" spans="2:9" x14ac:dyDescent="0.25">
      <c r="B13" s="11" t="s">
        <v>10</v>
      </c>
      <c r="C13" s="13">
        <v>1</v>
      </c>
      <c r="D13" s="13">
        <v>1</v>
      </c>
      <c r="E13" s="13">
        <v>2</v>
      </c>
      <c r="F13" s="13">
        <v>3</v>
      </c>
      <c r="G13" s="13">
        <v>4</v>
      </c>
    </row>
    <row r="14" spans="2:9" ht="30" x14ac:dyDescent="0.25">
      <c r="B14" s="11" t="s">
        <v>55</v>
      </c>
      <c r="C14" s="13">
        <v>1</v>
      </c>
      <c r="D14" s="13">
        <v>1</v>
      </c>
      <c r="E14" s="13">
        <v>2</v>
      </c>
      <c r="F14" s="13">
        <v>3</v>
      </c>
      <c r="G14" s="13">
        <v>4</v>
      </c>
    </row>
    <row r="15" spans="2:9" x14ac:dyDescent="0.25">
      <c r="B15" s="11" t="s">
        <v>11</v>
      </c>
      <c r="C15" s="13">
        <v>2</v>
      </c>
      <c r="D15" s="13">
        <v>2</v>
      </c>
      <c r="E15" s="13">
        <v>4</v>
      </c>
      <c r="F15" s="13">
        <v>5</v>
      </c>
      <c r="G15" s="13">
        <v>6</v>
      </c>
    </row>
    <row r="17" spans="2:4" x14ac:dyDescent="0.25">
      <c r="B17" s="6" t="s">
        <v>0</v>
      </c>
      <c r="C17" s="6" t="s">
        <v>25</v>
      </c>
      <c r="D17" s="6" t="s">
        <v>37</v>
      </c>
    </row>
    <row r="18" spans="2:4" x14ac:dyDescent="0.25">
      <c r="B18" s="11" t="s">
        <v>6</v>
      </c>
      <c r="C18" s="14">
        <v>5000</v>
      </c>
      <c r="D18" s="14">
        <v>3000</v>
      </c>
    </row>
    <row r="19" spans="2:4" x14ac:dyDescent="0.25">
      <c r="B19" s="11" t="s">
        <v>7</v>
      </c>
      <c r="C19" s="14">
        <v>10000</v>
      </c>
      <c r="D19" s="14">
        <v>6000</v>
      </c>
    </row>
    <row r="20" spans="2:4" x14ac:dyDescent="0.25">
      <c r="B20" s="11" t="s">
        <v>8</v>
      </c>
      <c r="C20" s="14">
        <v>12000</v>
      </c>
      <c r="D20" s="14">
        <v>8000</v>
      </c>
    </row>
    <row r="23" spans="2:4" x14ac:dyDescent="0.25">
      <c r="B23" s="6" t="s">
        <v>16</v>
      </c>
      <c r="C23" s="6" t="s">
        <v>46</v>
      </c>
    </row>
    <row r="24" spans="2:4" x14ac:dyDescent="0.25">
      <c r="B24" s="11" t="s">
        <v>9</v>
      </c>
      <c r="C24" s="14">
        <v>500000</v>
      </c>
    </row>
    <row r="25" spans="2:4" x14ac:dyDescent="0.25">
      <c r="B25" s="11" t="s">
        <v>10</v>
      </c>
      <c r="C25" s="14">
        <v>200000</v>
      </c>
    </row>
    <row r="26" spans="2:4" ht="30" x14ac:dyDescent="0.25">
      <c r="B26" s="11" t="s">
        <v>17</v>
      </c>
      <c r="C26" s="14">
        <v>200000</v>
      </c>
    </row>
    <row r="27" spans="2:4" x14ac:dyDescent="0.25">
      <c r="B27" s="11" t="s">
        <v>11</v>
      </c>
      <c r="C27" s="14">
        <v>150000</v>
      </c>
    </row>
    <row r="29" spans="2:4" ht="30.75" customHeight="1" x14ac:dyDescent="0.25">
      <c r="B29" s="6" t="s">
        <v>18</v>
      </c>
      <c r="C29" s="6" t="s">
        <v>37</v>
      </c>
      <c r="D29" s="6" t="s">
        <v>23</v>
      </c>
    </row>
    <row r="30" spans="2:4" ht="18" customHeight="1" x14ac:dyDescent="0.25">
      <c r="B30" s="11" t="s">
        <v>19</v>
      </c>
      <c r="C30" s="14">
        <v>400000</v>
      </c>
      <c r="D30" s="13">
        <v>5</v>
      </c>
    </row>
    <row r="31" spans="2:4" ht="18" customHeight="1" x14ac:dyDescent="0.25">
      <c r="B31" s="11" t="s">
        <v>20</v>
      </c>
      <c r="C31" s="14">
        <v>200000</v>
      </c>
      <c r="D31" s="13">
        <v>5</v>
      </c>
    </row>
    <row r="32" spans="2:4" ht="18" customHeight="1" x14ac:dyDescent="0.25">
      <c r="B32" s="11" t="s">
        <v>21</v>
      </c>
      <c r="C32" s="14">
        <v>500000</v>
      </c>
      <c r="D32" s="13">
        <v>10</v>
      </c>
    </row>
    <row r="33" spans="2:7" ht="18" customHeight="1" x14ac:dyDescent="0.25">
      <c r="B33" s="11" t="s">
        <v>22</v>
      </c>
      <c r="C33" s="14">
        <v>400000</v>
      </c>
      <c r="D33" s="13">
        <v>10</v>
      </c>
    </row>
    <row r="35" spans="2:7" ht="17.25" x14ac:dyDescent="0.25">
      <c r="B35" s="6" t="s">
        <v>18</v>
      </c>
      <c r="C35" s="4" t="s">
        <v>1</v>
      </c>
      <c r="D35" s="6" t="s">
        <v>2</v>
      </c>
      <c r="E35" s="6" t="s">
        <v>3</v>
      </c>
      <c r="F35" s="6" t="s">
        <v>4</v>
      </c>
      <c r="G35" s="6" t="s">
        <v>5</v>
      </c>
    </row>
    <row r="36" spans="2:7" ht="17.25" x14ac:dyDescent="0.25">
      <c r="B36" s="11" t="s">
        <v>19</v>
      </c>
      <c r="C36" s="15">
        <v>5</v>
      </c>
      <c r="D36" s="15">
        <v>0</v>
      </c>
      <c r="E36" s="15">
        <v>3</v>
      </c>
      <c r="F36" s="15">
        <v>3</v>
      </c>
      <c r="G36" s="15">
        <v>3</v>
      </c>
    </row>
    <row r="37" spans="2:7" ht="17.25" x14ac:dyDescent="0.25">
      <c r="B37" s="11" t="s">
        <v>20</v>
      </c>
      <c r="C37" s="15">
        <v>5</v>
      </c>
      <c r="D37" s="15">
        <v>0</v>
      </c>
      <c r="E37" s="15">
        <v>3</v>
      </c>
      <c r="F37" s="15">
        <v>3</v>
      </c>
      <c r="G37" s="15">
        <v>3</v>
      </c>
    </row>
    <row r="38" spans="2:7" ht="17.25" x14ac:dyDescent="0.25">
      <c r="B38" s="11" t="s">
        <v>21</v>
      </c>
      <c r="C38" s="15">
        <v>5</v>
      </c>
      <c r="D38" s="15">
        <v>0</v>
      </c>
      <c r="E38" s="15">
        <v>3</v>
      </c>
      <c r="F38" s="15">
        <v>3</v>
      </c>
      <c r="G38" s="15">
        <v>3</v>
      </c>
    </row>
    <row r="39" spans="2:7" ht="17.25" x14ac:dyDescent="0.25">
      <c r="B39" s="11" t="s">
        <v>22</v>
      </c>
      <c r="C39" s="15">
        <v>2</v>
      </c>
      <c r="D39" s="15">
        <v>3</v>
      </c>
      <c r="E39" s="15">
        <v>5</v>
      </c>
      <c r="F39" s="15">
        <v>5</v>
      </c>
      <c r="G39" s="15">
        <v>5</v>
      </c>
    </row>
    <row r="40" spans="2:7" ht="17.25" x14ac:dyDescent="0.25">
      <c r="B40" s="17"/>
      <c r="C40" s="16"/>
      <c r="D40" s="16"/>
      <c r="E40" s="16"/>
      <c r="F40" s="16"/>
      <c r="G40" s="16"/>
    </row>
    <row r="41" spans="2:7" ht="17.25" x14ac:dyDescent="0.25">
      <c r="B41" s="6" t="s">
        <v>47</v>
      </c>
      <c r="C41" s="4" t="s">
        <v>48</v>
      </c>
      <c r="D41" s="16"/>
      <c r="E41" s="16"/>
      <c r="F41" s="16"/>
      <c r="G41" s="16"/>
    </row>
    <row r="42" spans="2:7" ht="17.25" x14ac:dyDescent="0.25">
      <c r="B42" s="11" t="s">
        <v>31</v>
      </c>
      <c r="C42" s="14">
        <v>500000</v>
      </c>
      <c r="D42" s="16"/>
      <c r="E42" s="16"/>
      <c r="F42" s="16"/>
      <c r="G42" s="16"/>
    </row>
    <row r="43" spans="2:7" ht="17.25" x14ac:dyDescent="0.25">
      <c r="B43" s="11" t="s">
        <v>32</v>
      </c>
      <c r="C43" s="14">
        <v>200000</v>
      </c>
      <c r="D43" s="16"/>
      <c r="E43" s="16"/>
      <c r="F43" s="16"/>
      <c r="G43" s="16"/>
    </row>
    <row r="44" spans="2:7" ht="17.25" x14ac:dyDescent="0.25">
      <c r="B44" s="11" t="s">
        <v>33</v>
      </c>
      <c r="C44" s="14">
        <v>200000</v>
      </c>
      <c r="D44" s="16"/>
      <c r="E44" s="16"/>
      <c r="F44" s="16"/>
      <c r="G44" s="16"/>
    </row>
    <row r="45" spans="2:7" ht="17.25" x14ac:dyDescent="0.25">
      <c r="B45" s="17"/>
      <c r="C45" s="18"/>
      <c r="D45" s="16"/>
      <c r="E45" s="16"/>
      <c r="F45" s="16"/>
      <c r="G45" s="16"/>
    </row>
    <row r="46" spans="2:7" ht="17.25" x14ac:dyDescent="0.25">
      <c r="B46" s="17"/>
      <c r="C46" s="16"/>
      <c r="D46" s="16"/>
      <c r="E46" s="16"/>
      <c r="F46" s="16"/>
      <c r="G46" s="16"/>
    </row>
    <row r="47" spans="2:7" x14ac:dyDescent="0.25">
      <c r="B47" s="26" t="s">
        <v>56</v>
      </c>
    </row>
    <row r="48" spans="2:7" x14ac:dyDescent="0.25">
      <c r="B48" s="6" t="s">
        <v>0</v>
      </c>
      <c r="C48" s="6" t="s">
        <v>1</v>
      </c>
      <c r="D48" s="6" t="s">
        <v>2</v>
      </c>
      <c r="E48" s="6" t="s">
        <v>3</v>
      </c>
      <c r="F48" s="6" t="s">
        <v>4</v>
      </c>
      <c r="G48" s="6" t="s">
        <v>5</v>
      </c>
    </row>
    <row r="49" spans="2:7" x14ac:dyDescent="0.25">
      <c r="B49" s="11" t="s">
        <v>6</v>
      </c>
      <c r="C49" s="19">
        <f>+$C$2*$C$6*C15</f>
        <v>5110</v>
      </c>
      <c r="D49" s="19">
        <f>+$C$2*$C$6*D15</f>
        <v>5110</v>
      </c>
      <c r="E49" s="19">
        <f>+$C$2*$C$6*E15</f>
        <v>10220</v>
      </c>
      <c r="F49" s="19">
        <f>+$C$2*$C$6*F15</f>
        <v>12775</v>
      </c>
      <c r="G49" s="19">
        <f>+$C$2*$C$6*G15</f>
        <v>15330</v>
      </c>
    </row>
    <row r="50" spans="2:7" x14ac:dyDescent="0.25">
      <c r="B50" s="11" t="s">
        <v>7</v>
      </c>
      <c r="C50" s="19">
        <f>+$C$2*$C$7*C15</f>
        <v>2920</v>
      </c>
      <c r="D50" s="19">
        <f>+$C$2*$C$7*D15</f>
        <v>2920</v>
      </c>
      <c r="E50" s="19">
        <f>+$C$2*$C$7*E15</f>
        <v>5840</v>
      </c>
      <c r="F50" s="19">
        <f>+$C$2*$C$7*F15</f>
        <v>7300</v>
      </c>
      <c r="G50" s="19">
        <f>+$C$2*$C$7*G15</f>
        <v>8760</v>
      </c>
    </row>
    <row r="51" spans="2:7" x14ac:dyDescent="0.25">
      <c r="B51" s="11" t="s">
        <v>8</v>
      </c>
      <c r="C51" s="19">
        <f>+$C$2*$C$8*C15</f>
        <v>2190</v>
      </c>
      <c r="D51" s="19">
        <f>+$C$2*$C$8*D15</f>
        <v>2190</v>
      </c>
      <c r="E51" s="19">
        <f>+$C$2*$C$8*E15</f>
        <v>4380</v>
      </c>
      <c r="F51" s="19">
        <f>+$C$2*$C$8*F15</f>
        <v>5475</v>
      </c>
      <c r="G51" s="19">
        <f>+$C$2*$C$8*G15</f>
        <v>6570</v>
      </c>
    </row>
    <row r="53" spans="2:7" x14ac:dyDescent="0.25">
      <c r="B53" s="26" t="s">
        <v>57</v>
      </c>
    </row>
    <row r="54" spans="2:7" x14ac:dyDescent="0.25">
      <c r="B54" s="6" t="s">
        <v>0</v>
      </c>
      <c r="C54" s="6" t="s">
        <v>1</v>
      </c>
      <c r="D54" s="6" t="s">
        <v>2</v>
      </c>
      <c r="E54" s="6" t="s">
        <v>3</v>
      </c>
      <c r="F54" s="6" t="s">
        <v>4</v>
      </c>
      <c r="G54" s="6" t="s">
        <v>5</v>
      </c>
    </row>
    <row r="55" spans="2:7" x14ac:dyDescent="0.25">
      <c r="B55" s="11" t="s">
        <v>6</v>
      </c>
      <c r="C55" s="19">
        <f>+D6*C2</f>
        <v>3650</v>
      </c>
      <c r="D55" s="19">
        <f>+ROUND(C55*1.2,0)</f>
        <v>4380</v>
      </c>
      <c r="E55" s="19">
        <f t="shared" ref="E55:G55" si="0">+ROUND(D55*1.2,0)</f>
        <v>5256</v>
      </c>
      <c r="F55" s="19">
        <f t="shared" si="0"/>
        <v>6307</v>
      </c>
      <c r="G55" s="19">
        <f t="shared" si="0"/>
        <v>7568</v>
      </c>
    </row>
    <row r="56" spans="2:7" x14ac:dyDescent="0.25">
      <c r="B56" s="11" t="s">
        <v>7</v>
      </c>
      <c r="C56" s="19">
        <f>+D7*C2</f>
        <v>2555</v>
      </c>
      <c r="D56" s="19">
        <f t="shared" ref="D56:G57" si="1">+ROUND(C56*1.2,0)</f>
        <v>3066</v>
      </c>
      <c r="E56" s="19">
        <f t="shared" si="1"/>
        <v>3679</v>
      </c>
      <c r="F56" s="19">
        <f t="shared" si="1"/>
        <v>4415</v>
      </c>
      <c r="G56" s="19">
        <f t="shared" si="1"/>
        <v>5298</v>
      </c>
    </row>
    <row r="57" spans="2:7" x14ac:dyDescent="0.25">
      <c r="B57" s="11" t="s">
        <v>8</v>
      </c>
      <c r="C57" s="19">
        <f>+D8*C2</f>
        <v>1825</v>
      </c>
      <c r="D57" s="19">
        <f t="shared" si="1"/>
        <v>2190</v>
      </c>
      <c r="E57" s="19">
        <f t="shared" si="1"/>
        <v>2628</v>
      </c>
      <c r="F57" s="19">
        <f t="shared" si="1"/>
        <v>3154</v>
      </c>
      <c r="G57" s="19">
        <f t="shared" si="1"/>
        <v>3785</v>
      </c>
    </row>
    <row r="59" spans="2:7" x14ac:dyDescent="0.25">
      <c r="B59" s="26" t="s">
        <v>15</v>
      </c>
    </row>
    <row r="61" spans="2:7" x14ac:dyDescent="0.25">
      <c r="B61" s="6" t="s">
        <v>0</v>
      </c>
      <c r="C61" s="6" t="s">
        <v>1</v>
      </c>
      <c r="D61" s="6" t="s">
        <v>2</v>
      </c>
      <c r="E61" s="6" t="s">
        <v>3</v>
      </c>
      <c r="F61" s="6" t="s">
        <v>4</v>
      </c>
      <c r="G61" s="6" t="s">
        <v>5</v>
      </c>
    </row>
    <row r="62" spans="2:7" x14ac:dyDescent="0.25">
      <c r="B62" s="11" t="s">
        <v>6</v>
      </c>
      <c r="C62" s="19">
        <f>+C49+C55</f>
        <v>8760</v>
      </c>
      <c r="D62" s="19">
        <f t="shared" ref="D62:G62" si="2">+D49+D55</f>
        <v>9490</v>
      </c>
      <c r="E62" s="19">
        <f t="shared" si="2"/>
        <v>15476</v>
      </c>
      <c r="F62" s="19">
        <f t="shared" si="2"/>
        <v>19082</v>
      </c>
      <c r="G62" s="19">
        <f t="shared" si="2"/>
        <v>22898</v>
      </c>
    </row>
    <row r="63" spans="2:7" x14ac:dyDescent="0.25">
      <c r="B63" s="11" t="s">
        <v>7</v>
      </c>
      <c r="C63" s="19">
        <f t="shared" ref="C63:G63" si="3">+C50+C56</f>
        <v>5475</v>
      </c>
      <c r="D63" s="19">
        <f t="shared" si="3"/>
        <v>5986</v>
      </c>
      <c r="E63" s="19">
        <f t="shared" si="3"/>
        <v>9519</v>
      </c>
      <c r="F63" s="19">
        <f t="shared" si="3"/>
        <v>11715</v>
      </c>
      <c r="G63" s="19">
        <f t="shared" si="3"/>
        <v>14058</v>
      </c>
    </row>
    <row r="64" spans="2:7" x14ac:dyDescent="0.25">
      <c r="B64" s="11" t="s">
        <v>8</v>
      </c>
      <c r="C64" s="19">
        <f t="shared" ref="C64:G64" si="4">+C51+C57</f>
        <v>4015</v>
      </c>
      <c r="D64" s="19">
        <f t="shared" si="4"/>
        <v>4380</v>
      </c>
      <c r="E64" s="19">
        <f t="shared" si="4"/>
        <v>7008</v>
      </c>
      <c r="F64" s="19">
        <f t="shared" si="4"/>
        <v>8629</v>
      </c>
      <c r="G64" s="19">
        <f t="shared" si="4"/>
        <v>10355</v>
      </c>
    </row>
    <row r="67" spans="2:7" x14ac:dyDescent="0.25">
      <c r="B67" s="26" t="s">
        <v>24</v>
      </c>
    </row>
    <row r="69" spans="2:7" x14ac:dyDescent="0.25">
      <c r="B69" s="6" t="s">
        <v>0</v>
      </c>
      <c r="C69" s="6" t="s">
        <v>1</v>
      </c>
      <c r="D69" s="6" t="s">
        <v>2</v>
      </c>
      <c r="E69" s="6" t="s">
        <v>3</v>
      </c>
      <c r="F69" s="6" t="s">
        <v>4</v>
      </c>
      <c r="G69" s="6" t="s">
        <v>5</v>
      </c>
    </row>
    <row r="70" spans="2:7" x14ac:dyDescent="0.25">
      <c r="B70" s="11" t="s">
        <v>6</v>
      </c>
      <c r="C70" s="20">
        <f>+C62*$C$18</f>
        <v>43800000</v>
      </c>
      <c r="D70" s="20">
        <f>+D62*$C$18</f>
        <v>47450000</v>
      </c>
      <c r="E70" s="20">
        <f>+E62*$C$18</f>
        <v>77380000</v>
      </c>
      <c r="F70" s="20">
        <f>+F62*$C$18</f>
        <v>95410000</v>
      </c>
      <c r="G70" s="20">
        <f>+G62*$C$18</f>
        <v>114490000</v>
      </c>
    </row>
    <row r="71" spans="2:7" x14ac:dyDescent="0.25">
      <c r="B71" s="11" t="s">
        <v>7</v>
      </c>
      <c r="C71" s="20">
        <f>+C63*$C$19</f>
        <v>54750000</v>
      </c>
      <c r="D71" s="20">
        <f>+D63*$C$19</f>
        <v>59860000</v>
      </c>
      <c r="E71" s="20">
        <f>+E63*$C$19</f>
        <v>95190000</v>
      </c>
      <c r="F71" s="20">
        <f>+F63*$C$19</f>
        <v>117150000</v>
      </c>
      <c r="G71" s="20">
        <f>+G63*$C$19</f>
        <v>140580000</v>
      </c>
    </row>
    <row r="72" spans="2:7" x14ac:dyDescent="0.25">
      <c r="B72" s="11" t="s">
        <v>8</v>
      </c>
      <c r="C72" s="20">
        <f>+C64*$C$20</f>
        <v>48180000</v>
      </c>
      <c r="D72" s="20">
        <f>+D64*$C$20</f>
        <v>52560000</v>
      </c>
      <c r="E72" s="20">
        <f>+E64*$C$20</f>
        <v>84096000</v>
      </c>
      <c r="F72" s="20">
        <f>+F64*$C$20</f>
        <v>103548000</v>
      </c>
      <c r="G72" s="20">
        <f>+G64*$C$20</f>
        <v>124260000</v>
      </c>
    </row>
    <row r="73" spans="2:7" x14ac:dyDescent="0.25">
      <c r="B73" s="6" t="s">
        <v>29</v>
      </c>
      <c r="C73" s="5">
        <f>SUM(C70:C72)</f>
        <v>146730000</v>
      </c>
      <c r="D73" s="5">
        <f t="shared" ref="D73:G73" si="5">SUM(D70:D72)</f>
        <v>159870000</v>
      </c>
      <c r="E73" s="5">
        <f t="shared" si="5"/>
        <v>256666000</v>
      </c>
      <c r="F73" s="5">
        <f t="shared" si="5"/>
        <v>316108000</v>
      </c>
      <c r="G73" s="5">
        <f t="shared" si="5"/>
        <v>379330000</v>
      </c>
    </row>
    <row r="74" spans="2:7" x14ac:dyDescent="0.25">
      <c r="B74" s="17"/>
      <c r="C74" s="21"/>
      <c r="D74" s="21"/>
      <c r="E74" s="21"/>
      <c r="F74" s="21"/>
      <c r="G74" s="21"/>
    </row>
    <row r="75" spans="2:7" x14ac:dyDescent="0.25">
      <c r="B75" s="26" t="s">
        <v>38</v>
      </c>
    </row>
    <row r="77" spans="2:7" x14ac:dyDescent="0.25">
      <c r="B77" s="6" t="s">
        <v>0</v>
      </c>
      <c r="C77" s="6" t="s">
        <v>1</v>
      </c>
      <c r="D77" s="6" t="s">
        <v>2</v>
      </c>
      <c r="E77" s="6" t="s">
        <v>3</v>
      </c>
      <c r="F77" s="6" t="s">
        <v>4</v>
      </c>
      <c r="G77" s="6" t="s">
        <v>5</v>
      </c>
    </row>
    <row r="78" spans="2:7" x14ac:dyDescent="0.25">
      <c r="B78" s="11" t="s">
        <v>6</v>
      </c>
      <c r="C78" s="20">
        <f>+C62*$D$18</f>
        <v>26280000</v>
      </c>
      <c r="D78" s="20">
        <f>+D62*$D$18</f>
        <v>28470000</v>
      </c>
      <c r="E78" s="20">
        <f t="shared" ref="E78:G78" si="6">+E62*$D$18</f>
        <v>46428000</v>
      </c>
      <c r="F78" s="20">
        <f t="shared" si="6"/>
        <v>57246000</v>
      </c>
      <c r="G78" s="20">
        <f t="shared" si="6"/>
        <v>68694000</v>
      </c>
    </row>
    <row r="79" spans="2:7" x14ac:dyDescent="0.25">
      <c r="B79" s="11" t="s">
        <v>7</v>
      </c>
      <c r="C79" s="20">
        <f>+C63*$D$19</f>
        <v>32850000</v>
      </c>
      <c r="D79" s="20">
        <f>+D63*$D$19</f>
        <v>35916000</v>
      </c>
      <c r="E79" s="20">
        <f t="shared" ref="E79:G79" si="7">+E63*$D$19</f>
        <v>57114000</v>
      </c>
      <c r="F79" s="20">
        <f t="shared" si="7"/>
        <v>70290000</v>
      </c>
      <c r="G79" s="20">
        <f t="shared" si="7"/>
        <v>84348000</v>
      </c>
    </row>
    <row r="80" spans="2:7" x14ac:dyDescent="0.25">
      <c r="B80" s="11" t="s">
        <v>8</v>
      </c>
      <c r="C80" s="20">
        <f>+C64*$D$20</f>
        <v>32120000</v>
      </c>
      <c r="D80" s="20">
        <f t="shared" ref="D80:G80" si="8">+D64*$D$20</f>
        <v>35040000</v>
      </c>
      <c r="E80" s="20">
        <f t="shared" si="8"/>
        <v>56064000</v>
      </c>
      <c r="F80" s="20">
        <f t="shared" si="8"/>
        <v>69032000</v>
      </c>
      <c r="G80" s="20">
        <f t="shared" si="8"/>
        <v>82840000</v>
      </c>
    </row>
    <row r="81" spans="2:8" ht="13.5" customHeight="1" x14ac:dyDescent="0.25">
      <c r="B81" s="6" t="s">
        <v>29</v>
      </c>
      <c r="C81" s="5">
        <f>SUM(C78:C80)</f>
        <v>91250000</v>
      </c>
      <c r="D81" s="5">
        <f t="shared" ref="D81" si="9">SUM(D78:D80)</f>
        <v>99426000</v>
      </c>
      <c r="E81" s="5">
        <f t="shared" ref="E81" si="10">SUM(E78:E80)</f>
        <v>159606000</v>
      </c>
      <c r="F81" s="5">
        <f t="shared" ref="F81" si="11">SUM(F78:F80)</f>
        <v>196568000</v>
      </c>
      <c r="G81" s="5">
        <f t="shared" ref="G81" si="12">SUM(G78:G80)</f>
        <v>235882000</v>
      </c>
    </row>
    <row r="82" spans="2:8" ht="13.5" customHeight="1" x14ac:dyDescent="0.25">
      <c r="B82" s="17"/>
      <c r="C82" s="21"/>
      <c r="D82" s="21"/>
      <c r="E82" s="21"/>
      <c r="F82" s="21"/>
      <c r="G82" s="21"/>
    </row>
    <row r="83" spans="2:8" x14ac:dyDescent="0.25">
      <c r="B83" s="26" t="s">
        <v>26</v>
      </c>
    </row>
    <row r="85" spans="2:8" x14ac:dyDescent="0.25">
      <c r="B85" s="6" t="s">
        <v>18</v>
      </c>
      <c r="C85" s="6" t="s">
        <v>30</v>
      </c>
      <c r="D85" s="6" t="s">
        <v>1</v>
      </c>
      <c r="E85" s="6" t="s">
        <v>2</v>
      </c>
      <c r="F85" s="6" t="s">
        <v>3</v>
      </c>
      <c r="G85" s="6" t="s">
        <v>4</v>
      </c>
    </row>
    <row r="86" spans="2:8" x14ac:dyDescent="0.25">
      <c r="B86" s="11" t="s">
        <v>19</v>
      </c>
      <c r="C86" s="20">
        <f>+C36*$C$30</f>
        <v>2000000</v>
      </c>
      <c r="D86" s="20">
        <f>+D36*$C$30</f>
        <v>0</v>
      </c>
      <c r="E86" s="20">
        <f>+E36*$C$30</f>
        <v>1200000</v>
      </c>
      <c r="F86" s="20">
        <f>+F36*$C$30</f>
        <v>1200000</v>
      </c>
      <c r="G86" s="20">
        <f>+G36*$C$30</f>
        <v>1200000</v>
      </c>
    </row>
    <row r="87" spans="2:8" x14ac:dyDescent="0.25">
      <c r="B87" s="11" t="s">
        <v>20</v>
      </c>
      <c r="C87" s="20">
        <f>+C37*$C$31</f>
        <v>1000000</v>
      </c>
      <c r="D87" s="20">
        <f>+D37*$C$31</f>
        <v>0</v>
      </c>
      <c r="E87" s="20">
        <f>+E37*$C$31</f>
        <v>600000</v>
      </c>
      <c r="F87" s="20">
        <f>+F37*$C$31</f>
        <v>600000</v>
      </c>
      <c r="G87" s="20">
        <f>+G37*$C$31</f>
        <v>600000</v>
      </c>
    </row>
    <row r="88" spans="2:8" x14ac:dyDescent="0.25">
      <c r="B88" s="11" t="s">
        <v>21</v>
      </c>
      <c r="C88" s="20">
        <f>+C38*$C$32</f>
        <v>2500000</v>
      </c>
      <c r="D88" s="20">
        <f>+D38*$C$32</f>
        <v>0</v>
      </c>
      <c r="E88" s="20">
        <f>+E38*$C$32</f>
        <v>1500000</v>
      </c>
      <c r="F88" s="20">
        <f>+F38*$C$32</f>
        <v>1500000</v>
      </c>
      <c r="G88" s="20">
        <f>+G38*$C$32</f>
        <v>1500000</v>
      </c>
    </row>
    <row r="89" spans="2:8" x14ac:dyDescent="0.25">
      <c r="B89" s="11" t="s">
        <v>22</v>
      </c>
      <c r="C89" s="20">
        <f>+C39*$C$33</f>
        <v>800000</v>
      </c>
      <c r="D89" s="20">
        <f>+D39*$C$33</f>
        <v>1200000</v>
      </c>
      <c r="E89" s="20">
        <f>+E39*$C$33</f>
        <v>2000000</v>
      </c>
      <c r="F89" s="20">
        <f>+F39*$C$33</f>
        <v>2000000</v>
      </c>
      <c r="G89" s="20">
        <f>+G39*$C$33</f>
        <v>2000000</v>
      </c>
    </row>
    <row r="90" spans="2:8" x14ac:dyDescent="0.25">
      <c r="B90" s="6" t="s">
        <v>29</v>
      </c>
      <c r="C90" s="5">
        <f>SUM(C86:C89)</f>
        <v>6300000</v>
      </c>
      <c r="D90" s="5">
        <f t="shared" ref="D90" si="13">SUM(D86:D89)</f>
        <v>1200000</v>
      </c>
      <c r="E90" s="5">
        <f t="shared" ref="E90" si="14">SUM(E86:E89)</f>
        <v>5300000</v>
      </c>
      <c r="F90" s="5">
        <f t="shared" ref="F90" si="15">SUM(F86:F89)</f>
        <v>5300000</v>
      </c>
      <c r="G90" s="5">
        <f t="shared" ref="G90" si="16">SUM(G86:G89)</f>
        <v>5300000</v>
      </c>
      <c r="H90" s="1"/>
    </row>
    <row r="92" spans="2:8" x14ac:dyDescent="0.25">
      <c r="B92" s="26" t="s">
        <v>27</v>
      </c>
    </row>
    <row r="94" spans="2:8" x14ac:dyDescent="0.25">
      <c r="B94" s="6" t="s">
        <v>18</v>
      </c>
      <c r="C94" s="6" t="s">
        <v>1</v>
      </c>
      <c r="D94" s="6" t="s">
        <v>2</v>
      </c>
      <c r="E94" s="6" t="s">
        <v>3</v>
      </c>
      <c r="F94" s="6" t="s">
        <v>4</v>
      </c>
      <c r="G94" s="6" t="s">
        <v>5</v>
      </c>
    </row>
    <row r="95" spans="2:8" x14ac:dyDescent="0.25">
      <c r="B95" s="11" t="s">
        <v>19</v>
      </c>
      <c r="C95" s="20">
        <f>+C86/D30</f>
        <v>400000</v>
      </c>
      <c r="D95" s="20">
        <f>C95+D86/$D$30</f>
        <v>400000</v>
      </c>
      <c r="E95" s="20">
        <f>D95+E86/$D$30</f>
        <v>640000</v>
      </c>
      <c r="F95" s="20">
        <f>E95+F86/$D$30</f>
        <v>880000</v>
      </c>
      <c r="G95" s="20">
        <f>F95+G86/$D$30</f>
        <v>1120000</v>
      </c>
    </row>
    <row r="96" spans="2:8" x14ac:dyDescent="0.25">
      <c r="B96" s="11" t="s">
        <v>20</v>
      </c>
      <c r="C96" s="20">
        <f>+C87/D31</f>
        <v>200000</v>
      </c>
      <c r="D96" s="20">
        <f>C96+D87/$D$31</f>
        <v>200000</v>
      </c>
      <c r="E96" s="20">
        <f>D96+E87/$D$31</f>
        <v>320000</v>
      </c>
      <c r="F96" s="20">
        <f>E96+F87/$D$31</f>
        <v>440000</v>
      </c>
      <c r="G96" s="20">
        <f>F96+G87/$D$31</f>
        <v>560000</v>
      </c>
    </row>
    <row r="97" spans="2:7" x14ac:dyDescent="0.25">
      <c r="B97" s="11" t="s">
        <v>21</v>
      </c>
      <c r="C97" s="20">
        <f>+C88/D32</f>
        <v>250000</v>
      </c>
      <c r="D97" s="20">
        <f>C97+D88/$D$32</f>
        <v>250000</v>
      </c>
      <c r="E97" s="20">
        <f>D97+E88/$D$32</f>
        <v>400000</v>
      </c>
      <c r="F97" s="20">
        <f>E97+F88/$D$32</f>
        <v>550000</v>
      </c>
      <c r="G97" s="20">
        <f>F97+G88/$D$32</f>
        <v>700000</v>
      </c>
    </row>
    <row r="98" spans="2:7" x14ac:dyDescent="0.25">
      <c r="B98" s="11" t="s">
        <v>22</v>
      </c>
      <c r="C98" s="20">
        <f>+C89/D33</f>
        <v>80000</v>
      </c>
      <c r="D98" s="20">
        <f>+C98+D89/$D$33</f>
        <v>200000</v>
      </c>
      <c r="E98" s="20">
        <f>+D98+E89/$D$33</f>
        <v>400000</v>
      </c>
      <c r="F98" s="20">
        <f>+E98+F89/$D$33</f>
        <v>600000</v>
      </c>
      <c r="G98" s="20">
        <f>+F98+G89/$D$33</f>
        <v>800000</v>
      </c>
    </row>
    <row r="99" spans="2:7" x14ac:dyDescent="0.25">
      <c r="B99" s="6" t="s">
        <v>29</v>
      </c>
      <c r="C99" s="5">
        <f>SUM(C95:C98)</f>
        <v>930000</v>
      </c>
      <c r="D99" s="5">
        <f t="shared" ref="D99:G99" si="17">SUM(D95:D98)</f>
        <v>1050000</v>
      </c>
      <c r="E99" s="5">
        <f t="shared" si="17"/>
        <v>1760000</v>
      </c>
      <c r="F99" s="5">
        <f t="shared" si="17"/>
        <v>2470000</v>
      </c>
      <c r="G99" s="5">
        <f t="shared" si="17"/>
        <v>3180000</v>
      </c>
    </row>
    <row r="101" spans="2:7" x14ac:dyDescent="0.25">
      <c r="B101" s="26" t="s">
        <v>28</v>
      </c>
    </row>
    <row r="103" spans="2:7" x14ac:dyDescent="0.25">
      <c r="B103" s="6" t="s">
        <v>0</v>
      </c>
      <c r="C103" s="6" t="s">
        <v>1</v>
      </c>
      <c r="D103" s="6" t="s">
        <v>2</v>
      </c>
      <c r="E103" s="6" t="s">
        <v>3</v>
      </c>
      <c r="F103" s="6" t="s">
        <v>4</v>
      </c>
      <c r="G103" s="6" t="s">
        <v>5</v>
      </c>
    </row>
    <row r="104" spans="2:7" x14ac:dyDescent="0.25">
      <c r="B104" s="11" t="s">
        <v>9</v>
      </c>
      <c r="C104" s="20">
        <f>+C12*$C$24*12</f>
        <v>18000000</v>
      </c>
      <c r="D104" s="20">
        <f t="shared" ref="D104:G104" si="18">+D12*$C$24*12</f>
        <v>18000000</v>
      </c>
      <c r="E104" s="20">
        <f t="shared" si="18"/>
        <v>24000000</v>
      </c>
      <c r="F104" s="20">
        <f t="shared" si="18"/>
        <v>30000000</v>
      </c>
      <c r="G104" s="20">
        <f t="shared" si="18"/>
        <v>36000000</v>
      </c>
    </row>
    <row r="105" spans="2:7" x14ac:dyDescent="0.25">
      <c r="B105" s="11" t="s">
        <v>10</v>
      </c>
      <c r="C105" s="20">
        <f>+C13*$C$25*12</f>
        <v>2400000</v>
      </c>
      <c r="D105" s="20">
        <f t="shared" ref="D105:G105" si="19">+D13*$C$25*12</f>
        <v>2400000</v>
      </c>
      <c r="E105" s="20">
        <f t="shared" si="19"/>
        <v>4800000</v>
      </c>
      <c r="F105" s="20">
        <f t="shared" si="19"/>
        <v>7200000</v>
      </c>
      <c r="G105" s="20">
        <f t="shared" si="19"/>
        <v>9600000</v>
      </c>
    </row>
    <row r="106" spans="2:7" ht="30" x14ac:dyDescent="0.25">
      <c r="B106" s="11" t="s">
        <v>55</v>
      </c>
      <c r="C106" s="20">
        <f>+C14*$C$26*12</f>
        <v>2400000</v>
      </c>
      <c r="D106" s="20">
        <f t="shared" ref="D106:G106" si="20">+D14*$C$26*12</f>
        <v>2400000</v>
      </c>
      <c r="E106" s="20">
        <f t="shared" si="20"/>
        <v>4800000</v>
      </c>
      <c r="F106" s="20">
        <f t="shared" si="20"/>
        <v>7200000</v>
      </c>
      <c r="G106" s="20">
        <f t="shared" si="20"/>
        <v>9600000</v>
      </c>
    </row>
    <row r="107" spans="2:7" x14ac:dyDescent="0.25">
      <c r="B107" s="11" t="s">
        <v>11</v>
      </c>
      <c r="C107" s="20">
        <f>+C15*$C$27*12</f>
        <v>3600000</v>
      </c>
      <c r="D107" s="20">
        <f t="shared" ref="D107:G107" si="21">+D15*$C$27*12</f>
        <v>3600000</v>
      </c>
      <c r="E107" s="20">
        <f t="shared" si="21"/>
        <v>7200000</v>
      </c>
      <c r="F107" s="20">
        <f t="shared" si="21"/>
        <v>9000000</v>
      </c>
      <c r="G107" s="20">
        <f t="shared" si="21"/>
        <v>10800000</v>
      </c>
    </row>
    <row r="108" spans="2:7" x14ac:dyDescent="0.25">
      <c r="B108" s="6" t="s">
        <v>29</v>
      </c>
      <c r="C108" s="5">
        <f>SUM(C104:C107)</f>
        <v>26400000</v>
      </c>
      <c r="D108" s="5">
        <f t="shared" ref="D108:G108" si="22">SUM(D104:D107)</f>
        <v>26400000</v>
      </c>
      <c r="E108" s="5">
        <f t="shared" si="22"/>
        <v>40800000</v>
      </c>
      <c r="F108" s="5">
        <f t="shared" si="22"/>
        <v>53400000</v>
      </c>
      <c r="G108" s="5">
        <f t="shared" si="22"/>
        <v>66000000</v>
      </c>
    </row>
    <row r="110" spans="2:7" x14ac:dyDescent="0.25">
      <c r="B110" s="26" t="s">
        <v>35</v>
      </c>
    </row>
    <row r="112" spans="2:7" x14ac:dyDescent="0.25">
      <c r="B112" s="6" t="s">
        <v>0</v>
      </c>
      <c r="C112" s="6" t="s">
        <v>1</v>
      </c>
      <c r="D112" s="6" t="s">
        <v>2</v>
      </c>
      <c r="E112" s="6" t="s">
        <v>3</v>
      </c>
      <c r="F112" s="6" t="s">
        <v>4</v>
      </c>
      <c r="G112" s="6" t="s">
        <v>5</v>
      </c>
    </row>
    <row r="113" spans="2:8" x14ac:dyDescent="0.25">
      <c r="B113" s="22" t="s">
        <v>31</v>
      </c>
      <c r="C113" s="23">
        <f>+$C$42*12*C15</f>
        <v>12000000</v>
      </c>
      <c r="D113" s="23">
        <f>+$C$42*12*D15</f>
        <v>12000000</v>
      </c>
      <c r="E113" s="23">
        <f t="shared" ref="E113:F113" si="23">+$C$42*12*E15</f>
        <v>24000000</v>
      </c>
      <c r="F113" s="23">
        <f t="shared" si="23"/>
        <v>30000000</v>
      </c>
      <c r="G113" s="23">
        <f>+$C$42*12*G15</f>
        <v>36000000</v>
      </c>
    </row>
    <row r="114" spans="2:8" x14ac:dyDescent="0.25">
      <c r="B114" s="22" t="s">
        <v>32</v>
      </c>
      <c r="C114" s="23">
        <f>+C43*12</f>
        <v>2400000</v>
      </c>
      <c r="D114" s="23">
        <f t="shared" ref="D114:G114" si="24">C114*1.2</f>
        <v>2880000</v>
      </c>
      <c r="E114" s="23">
        <f t="shared" si="24"/>
        <v>3456000</v>
      </c>
      <c r="F114" s="23">
        <f t="shared" si="24"/>
        <v>4147200</v>
      </c>
      <c r="G114" s="23">
        <f t="shared" si="24"/>
        <v>4976640</v>
      </c>
    </row>
    <row r="115" spans="2:8" x14ac:dyDescent="0.25">
      <c r="B115" s="22" t="s">
        <v>33</v>
      </c>
      <c r="C115" s="23">
        <f>+C44*12</f>
        <v>2400000</v>
      </c>
      <c r="D115" s="23">
        <f>C115*1.1</f>
        <v>2640000</v>
      </c>
      <c r="E115" s="23">
        <f t="shared" ref="E115:G115" si="25">D115*1.1</f>
        <v>2904000.0000000005</v>
      </c>
      <c r="F115" s="23">
        <f t="shared" si="25"/>
        <v>3194400.0000000009</v>
      </c>
      <c r="G115" s="23">
        <f t="shared" si="25"/>
        <v>3513840.0000000014</v>
      </c>
    </row>
    <row r="116" spans="2:8" x14ac:dyDescent="0.25">
      <c r="B116" s="6" t="s">
        <v>29</v>
      </c>
      <c r="C116" s="5">
        <f>SUM(C113:C115)</f>
        <v>16800000</v>
      </c>
      <c r="D116" s="5">
        <f t="shared" ref="D116:G116" si="26">SUM(D113:D115)</f>
        <v>17520000</v>
      </c>
      <c r="E116" s="5">
        <f t="shared" si="26"/>
        <v>30360000</v>
      </c>
      <c r="F116" s="5">
        <f t="shared" si="26"/>
        <v>37341600</v>
      </c>
      <c r="G116" s="5">
        <f t="shared" si="26"/>
        <v>44490480</v>
      </c>
    </row>
    <row r="119" spans="2:8" x14ac:dyDescent="0.25">
      <c r="B119" s="26" t="s">
        <v>58</v>
      </c>
    </row>
    <row r="120" spans="2:8" x14ac:dyDescent="0.25">
      <c r="B120" s="26"/>
    </row>
    <row r="121" spans="2:8" x14ac:dyDescent="0.25">
      <c r="B121" s="24"/>
      <c r="C121" s="25">
        <v>0</v>
      </c>
      <c r="D121" s="25">
        <v>1</v>
      </c>
      <c r="E121" s="25">
        <v>2</v>
      </c>
      <c r="F121" s="25">
        <v>3</v>
      </c>
      <c r="G121" s="25">
        <v>4</v>
      </c>
      <c r="H121" s="25">
        <v>5</v>
      </c>
    </row>
    <row r="122" spans="2:8" x14ac:dyDescent="0.25">
      <c r="B122" s="22" t="s">
        <v>36</v>
      </c>
      <c r="C122" s="23"/>
      <c r="D122" s="23">
        <f>+C73</f>
        <v>146730000</v>
      </c>
      <c r="E122" s="23">
        <f>+D73</f>
        <v>159870000</v>
      </c>
      <c r="F122" s="23">
        <f>+E73</f>
        <v>256666000</v>
      </c>
      <c r="G122" s="23">
        <f>+F73</f>
        <v>316108000</v>
      </c>
      <c r="H122" s="23">
        <f>+G73</f>
        <v>379330000</v>
      </c>
    </row>
    <row r="123" spans="2:8" x14ac:dyDescent="0.25">
      <c r="B123" s="22" t="s">
        <v>38</v>
      </c>
      <c r="C123" s="22"/>
      <c r="D123" s="23">
        <f>-C81</f>
        <v>-91250000</v>
      </c>
      <c r="E123" s="23">
        <f>-D81</f>
        <v>-99426000</v>
      </c>
      <c r="F123" s="23">
        <f>-E81</f>
        <v>-159606000</v>
      </c>
      <c r="G123" s="23">
        <f>-F81</f>
        <v>-196568000</v>
      </c>
      <c r="H123" s="23">
        <f>-G81</f>
        <v>-235882000</v>
      </c>
    </row>
    <row r="124" spans="2:8" x14ac:dyDescent="0.25">
      <c r="B124" s="22" t="s">
        <v>39</v>
      </c>
      <c r="C124" s="22"/>
      <c r="D124" s="23">
        <f>SUM(D122:D123)</f>
        <v>55480000</v>
      </c>
      <c r="E124" s="23">
        <f t="shared" ref="E124:H124" si="27">SUM(E122:E123)</f>
        <v>60444000</v>
      </c>
      <c r="F124" s="23">
        <f t="shared" si="27"/>
        <v>97060000</v>
      </c>
      <c r="G124" s="23">
        <f t="shared" si="27"/>
        <v>119540000</v>
      </c>
      <c r="H124" s="23">
        <f t="shared" si="27"/>
        <v>143448000</v>
      </c>
    </row>
    <row r="125" spans="2:8" x14ac:dyDescent="0.25">
      <c r="B125" s="22" t="s">
        <v>40</v>
      </c>
      <c r="C125" s="22"/>
      <c r="D125" s="22"/>
      <c r="E125" s="22"/>
      <c r="F125" s="22"/>
      <c r="G125" s="22"/>
      <c r="H125" s="22"/>
    </row>
    <row r="126" spans="2:8" x14ac:dyDescent="0.25">
      <c r="B126" s="22" t="s">
        <v>41</v>
      </c>
      <c r="C126" s="22"/>
      <c r="D126" s="23">
        <f>-C108</f>
        <v>-26400000</v>
      </c>
      <c r="E126" s="23">
        <f>-D108</f>
        <v>-26400000</v>
      </c>
      <c r="F126" s="23">
        <f>-E108</f>
        <v>-40800000</v>
      </c>
      <c r="G126" s="23">
        <f>-F108</f>
        <v>-53400000</v>
      </c>
      <c r="H126" s="23">
        <f>-G108</f>
        <v>-66000000</v>
      </c>
    </row>
    <row r="127" spans="2:8" ht="14.25" customHeight="1" x14ac:dyDescent="0.25">
      <c r="B127" s="22" t="s">
        <v>27</v>
      </c>
      <c r="C127" s="22"/>
      <c r="D127" s="23">
        <f>-C99</f>
        <v>-930000</v>
      </c>
      <c r="E127" s="23">
        <f>-D99</f>
        <v>-1050000</v>
      </c>
      <c r="F127" s="23">
        <f>-E99</f>
        <v>-1760000</v>
      </c>
      <c r="G127" s="23">
        <f>-F99</f>
        <v>-2470000</v>
      </c>
      <c r="H127" s="23">
        <f>-G99</f>
        <v>-3180000</v>
      </c>
    </row>
    <row r="128" spans="2:8" x14ac:dyDescent="0.25">
      <c r="B128" s="22" t="s">
        <v>42</v>
      </c>
      <c r="C128" s="22"/>
      <c r="D128" s="23">
        <f t="shared" ref="D128:H130" si="28">-C113</f>
        <v>-12000000</v>
      </c>
      <c r="E128" s="23">
        <f t="shared" si="28"/>
        <v>-12000000</v>
      </c>
      <c r="F128" s="23">
        <f t="shared" si="28"/>
        <v>-24000000</v>
      </c>
      <c r="G128" s="23">
        <f t="shared" si="28"/>
        <v>-30000000</v>
      </c>
      <c r="H128" s="23">
        <f t="shared" si="28"/>
        <v>-36000000</v>
      </c>
    </row>
    <row r="129" spans="2:8" x14ac:dyDescent="0.25">
      <c r="B129" s="22" t="s">
        <v>32</v>
      </c>
      <c r="C129" s="22"/>
      <c r="D129" s="23">
        <f t="shared" si="28"/>
        <v>-2400000</v>
      </c>
      <c r="E129" s="23">
        <f t="shared" si="28"/>
        <v>-2880000</v>
      </c>
      <c r="F129" s="23">
        <f t="shared" si="28"/>
        <v>-3456000</v>
      </c>
      <c r="G129" s="23">
        <f t="shared" si="28"/>
        <v>-4147200</v>
      </c>
      <c r="H129" s="23">
        <f t="shared" si="28"/>
        <v>-4976640</v>
      </c>
    </row>
    <row r="130" spans="2:8" x14ac:dyDescent="0.25">
      <c r="B130" s="22" t="s">
        <v>33</v>
      </c>
      <c r="C130" s="22"/>
      <c r="D130" s="23">
        <f t="shared" si="28"/>
        <v>-2400000</v>
      </c>
      <c r="E130" s="23">
        <f t="shared" si="28"/>
        <v>-2640000</v>
      </c>
      <c r="F130" s="23">
        <f t="shared" si="28"/>
        <v>-2904000.0000000005</v>
      </c>
      <c r="G130" s="23">
        <f t="shared" si="28"/>
        <v>-3194400.0000000009</v>
      </c>
      <c r="H130" s="23">
        <f t="shared" si="28"/>
        <v>-3513840.0000000014</v>
      </c>
    </row>
    <row r="131" spans="2:8" x14ac:dyDescent="0.25">
      <c r="B131" s="22" t="s">
        <v>43</v>
      </c>
      <c r="C131" s="22"/>
      <c r="D131" s="23">
        <f>SUM(D126:D130)</f>
        <v>-44130000</v>
      </c>
      <c r="E131" s="23">
        <f t="shared" ref="E131:H131" si="29">SUM(E126:E130)</f>
        <v>-44970000</v>
      </c>
      <c r="F131" s="23">
        <f t="shared" si="29"/>
        <v>-72920000</v>
      </c>
      <c r="G131" s="23">
        <f t="shared" si="29"/>
        <v>-93211600</v>
      </c>
      <c r="H131" s="23">
        <f t="shared" si="29"/>
        <v>-113670480</v>
      </c>
    </row>
    <row r="132" spans="2:8" x14ac:dyDescent="0.25">
      <c r="B132" s="22" t="s">
        <v>44</v>
      </c>
      <c r="C132" s="22"/>
      <c r="D132" s="23">
        <f>+D124+D131</f>
        <v>11350000</v>
      </c>
      <c r="E132" s="23">
        <f t="shared" ref="E132:H132" si="30">+E124+E131</f>
        <v>15474000</v>
      </c>
      <c r="F132" s="23">
        <f t="shared" si="30"/>
        <v>24140000</v>
      </c>
      <c r="G132" s="23">
        <f t="shared" si="30"/>
        <v>26328400</v>
      </c>
      <c r="H132" s="23">
        <f t="shared" si="30"/>
        <v>29777520</v>
      </c>
    </row>
    <row r="133" spans="2:8" x14ac:dyDescent="0.25">
      <c r="B133" s="22" t="s">
        <v>45</v>
      </c>
      <c r="C133" s="22"/>
      <c r="D133" s="23">
        <f>-D132*$C$3</f>
        <v>-1135000</v>
      </c>
      <c r="E133" s="23">
        <f t="shared" ref="E133:H133" si="31">-E132*$C$3</f>
        <v>-1547400</v>
      </c>
      <c r="F133" s="23">
        <f t="shared" si="31"/>
        <v>-2414000</v>
      </c>
      <c r="G133" s="23">
        <f t="shared" si="31"/>
        <v>-2632840</v>
      </c>
      <c r="H133" s="23">
        <f t="shared" si="31"/>
        <v>-2977752</v>
      </c>
    </row>
    <row r="134" spans="2:8" x14ac:dyDescent="0.25">
      <c r="B134" s="2" t="s">
        <v>49</v>
      </c>
      <c r="C134" s="2"/>
      <c r="D134" s="3">
        <f>D132+D133</f>
        <v>10215000</v>
      </c>
      <c r="E134" s="3">
        <f t="shared" ref="E134:H134" si="32">E132+E133</f>
        <v>13926600</v>
      </c>
      <c r="F134" s="3">
        <f t="shared" si="32"/>
        <v>21726000</v>
      </c>
      <c r="G134" s="3">
        <f t="shared" si="32"/>
        <v>23695560</v>
      </c>
      <c r="H134" s="3">
        <f t="shared" si="32"/>
        <v>26799768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yerkebulan</dc:creator>
  <cp:lastModifiedBy>Moldir Kaiynbayeva</cp:lastModifiedBy>
  <dcterms:created xsi:type="dcterms:W3CDTF">2022-03-09T11:29:29Z</dcterms:created>
  <dcterms:modified xsi:type="dcterms:W3CDTF">2024-03-11T06:48:31Z</dcterms:modified>
</cp:coreProperties>
</file>