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126"/>
  <workbookPr/>
  <mc:AlternateContent xmlns:mc="http://schemas.openxmlformats.org/markup-compatibility/2006">
    <mc:Choice Requires="x15">
      <x15ac:absPath xmlns:x15ac="http://schemas.microsoft.com/office/spreadsheetml/2010/11/ac" url="C:\Users\Pavilon\Downloads\"/>
    </mc:Choice>
  </mc:AlternateContent>
  <xr:revisionPtr revIDLastSave="0" documentId="13_ncr:1_{3CDC0361-3F85-4C02-AA96-13B388F36472}" xr6:coauthVersionLast="40" xr6:coauthVersionMax="47" xr10:uidLastSave="{00000000-0000-0000-0000-000000000000}"/>
  <bookViews>
    <workbookView xWindow="-120" yWindow="-120" windowWidth="29040" windowHeight="16440" activeTab="1" xr2:uid="{00000000-000D-0000-FFFF-FFFF00000000}"/>
  </bookViews>
  <sheets>
    <sheet name="Income Statement" sheetId="1" r:id="rId1"/>
    <sheet name="R1T6"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ARRAYTEXT_WF"/>
        <xcalcf:feature name="microsoft.com:LAMBDA_WF"/>
        <xcalcf:feature name="microsoft.com:LET_WF"/>
      </xcalcf:calcFeatures>
    </ext>
  </extLst>
</workbook>
</file>

<file path=xl/calcChain.xml><?xml version="1.0" encoding="utf-8"?>
<calcChain xmlns="http://schemas.openxmlformats.org/spreadsheetml/2006/main">
  <c r="B84" i="1" l="1"/>
  <c r="B86" i="1" s="1"/>
  <c r="B68" i="1"/>
  <c r="C80" i="1" s="1"/>
  <c r="E62" i="1"/>
  <c r="F67" i="1" s="1"/>
  <c r="F68" i="1" s="1"/>
  <c r="G80" i="1" s="1"/>
  <c r="G57" i="1"/>
  <c r="G84" i="1" s="1"/>
  <c r="F57" i="1"/>
  <c r="F84" i="1" s="1"/>
  <c r="E57" i="1"/>
  <c r="E84" i="1" s="1"/>
  <c r="D57" i="1"/>
  <c r="D84" i="1" s="1"/>
  <c r="C57" i="1"/>
  <c r="C84" i="1" s="1"/>
  <c r="B57" i="1"/>
  <c r="B58" i="1" s="1"/>
  <c r="F41" i="1"/>
  <c r="E41" i="1"/>
  <c r="D41" i="1"/>
  <c r="C41" i="1"/>
  <c r="B41" i="1"/>
  <c r="F40" i="1"/>
  <c r="E40" i="1"/>
  <c r="D40" i="1"/>
  <c r="C40" i="1"/>
  <c r="B40" i="1"/>
  <c r="F39" i="1"/>
  <c r="E39" i="1"/>
  <c r="D39" i="1"/>
  <c r="C39" i="1"/>
  <c r="B39" i="1"/>
  <c r="F38" i="1"/>
  <c r="E38" i="1"/>
  <c r="D38" i="1"/>
  <c r="C38" i="1"/>
  <c r="B38" i="1"/>
  <c r="F37" i="1"/>
  <c r="E37" i="1"/>
  <c r="D37" i="1"/>
  <c r="C37" i="1"/>
  <c r="B37" i="1"/>
  <c r="F36" i="1"/>
  <c r="E36" i="1"/>
  <c r="D36" i="1"/>
  <c r="C36" i="1"/>
  <c r="B36" i="1"/>
  <c r="F35" i="1"/>
  <c r="E35" i="1"/>
  <c r="D35" i="1"/>
  <c r="C35" i="1"/>
  <c r="B35" i="1"/>
  <c r="F34" i="1"/>
  <c r="F42" i="1" s="1"/>
  <c r="F46" i="1" s="1"/>
  <c r="F51" i="1" s="1"/>
  <c r="G58" i="1" s="1"/>
  <c r="G79" i="1" s="1"/>
  <c r="E34" i="1"/>
  <c r="E42" i="1" s="1"/>
  <c r="E46" i="1" s="1"/>
  <c r="E51" i="1" s="1"/>
  <c r="F58" i="1" s="1"/>
  <c r="F79" i="1" s="1"/>
  <c r="D34" i="1"/>
  <c r="D42" i="1" s="1"/>
  <c r="D46" i="1" s="1"/>
  <c r="D51" i="1" s="1"/>
  <c r="E58" i="1" s="1"/>
  <c r="E79" i="1" s="1"/>
  <c r="C34" i="1"/>
  <c r="C42" i="1" s="1"/>
  <c r="C46" i="1" s="1"/>
  <c r="C51" i="1" s="1"/>
  <c r="D58" i="1" s="1"/>
  <c r="D79" i="1" s="1"/>
  <c r="B34" i="1"/>
  <c r="B42" i="1" s="1"/>
  <c r="B46" i="1" s="1"/>
  <c r="B51" i="1" s="1"/>
  <c r="C58" i="1" s="1"/>
  <c r="C79" i="1" s="1"/>
  <c r="K18" i="1"/>
  <c r="B14" i="1" s="1"/>
  <c r="C14" i="1" s="1"/>
  <c r="D14" i="1" s="1"/>
  <c r="E14" i="1" s="1"/>
  <c r="F14" i="1" s="1"/>
  <c r="K15" i="1"/>
  <c r="B12" i="1" s="1"/>
  <c r="C12" i="1" s="1"/>
  <c r="D12" i="1" s="1"/>
  <c r="E12" i="1" s="1"/>
  <c r="F12" i="1" s="1"/>
  <c r="K11" i="1"/>
  <c r="C11" i="1"/>
  <c r="D11" i="1" s="1"/>
  <c r="E11" i="1" s="1"/>
  <c r="F11" i="1" s="1"/>
  <c r="B11" i="1"/>
  <c r="K10" i="1"/>
  <c r="B10" i="1"/>
  <c r="C10" i="1" s="1"/>
  <c r="D10" i="1" s="1"/>
  <c r="E10" i="1" s="1"/>
  <c r="F10" i="1" s="1"/>
  <c r="D9" i="1"/>
  <c r="E9" i="1" s="1"/>
  <c r="F9" i="1" s="1"/>
  <c r="C9" i="1"/>
  <c r="B7" i="1"/>
  <c r="C7" i="1" s="1"/>
  <c r="K6" i="1"/>
  <c r="C6" i="1"/>
  <c r="D6" i="1" s="1"/>
  <c r="D7" i="1" l="1"/>
  <c r="E7" i="1" s="1"/>
  <c r="F7" i="1" s="1"/>
  <c r="C15" i="1"/>
  <c r="D77" i="1" s="1"/>
  <c r="D78" i="1" s="1"/>
  <c r="D81" i="1" s="1"/>
  <c r="D15" i="1"/>
  <c r="E77" i="1" s="1"/>
  <c r="E78" i="1" s="1"/>
  <c r="E6" i="1"/>
  <c r="B95" i="1"/>
  <c r="B88" i="1"/>
  <c r="C67" i="1"/>
  <c r="C68" i="1" s="1"/>
  <c r="D80" i="1" s="1"/>
  <c r="B15" i="1"/>
  <c r="C77" i="1" s="1"/>
  <c r="C78" i="1" s="1"/>
  <c r="C81" i="1" s="1"/>
  <c r="D67" i="1"/>
  <c r="D68" i="1" s="1"/>
  <c r="E80" i="1" s="1"/>
  <c r="E67" i="1"/>
  <c r="E68" i="1" s="1"/>
  <c r="F80" i="1" s="1"/>
  <c r="E15" i="1" l="1"/>
  <c r="F77" i="1" s="1"/>
  <c r="F78" i="1" s="1"/>
  <c r="F81" i="1" s="1"/>
  <c r="F6" i="1"/>
  <c r="F15" i="1" s="1"/>
  <c r="G77" i="1" s="1"/>
  <c r="G78" i="1" s="1"/>
  <c r="G81" i="1" s="1"/>
  <c r="E81" i="1"/>
  <c r="B96" i="1"/>
  <c r="D82" i="1"/>
  <c r="D83" i="1" s="1"/>
  <c r="C82" i="1"/>
  <c r="C83" i="1" s="1"/>
  <c r="B89" i="1"/>
  <c r="V102" i="1" l="1"/>
  <c r="C86" i="1"/>
  <c r="W102" i="1"/>
  <c r="D86" i="1"/>
  <c r="E82" i="1"/>
  <c r="E83" i="1"/>
  <c r="G83" i="1"/>
  <c r="G82" i="1"/>
  <c r="F82" i="1"/>
  <c r="F83" i="1"/>
  <c r="D88" i="1" l="1"/>
  <c r="D89" i="1" s="1"/>
  <c r="D95" i="1"/>
  <c r="Z102" i="1"/>
  <c r="G86" i="1"/>
  <c r="X102" i="1"/>
  <c r="E86" i="1"/>
  <c r="C95" i="1"/>
  <c r="C88" i="1"/>
  <c r="Y102" i="1"/>
  <c r="F86" i="1"/>
  <c r="E88" i="1" l="1"/>
  <c r="E89" i="1" s="1"/>
  <c r="E95" i="1"/>
  <c r="F88" i="1"/>
  <c r="F89" i="1" s="1"/>
  <c r="F95" i="1"/>
  <c r="E96" i="1"/>
  <c r="C89" i="1"/>
  <c r="D96" i="1"/>
  <c r="C96" i="1"/>
  <c r="G87" i="1"/>
  <c r="G88" i="1"/>
  <c r="G89" i="1" s="1"/>
  <c r="G95" i="1"/>
  <c r="O61" i="1" l="1"/>
  <c r="O59" i="1"/>
  <c r="O67" i="1"/>
  <c r="O12" i="1"/>
  <c r="O23" i="1"/>
  <c r="O43" i="1"/>
  <c r="O50" i="1"/>
  <c r="O93" i="1"/>
  <c r="O13" i="1"/>
  <c r="O78" i="1"/>
  <c r="O89" i="1"/>
  <c r="O58" i="1"/>
  <c r="O77" i="1"/>
  <c r="O39" i="1"/>
  <c r="O5" i="1"/>
  <c r="O32" i="1"/>
  <c r="B90" i="1"/>
  <c r="O9" i="1"/>
  <c r="O73" i="1"/>
  <c r="O99" i="1"/>
  <c r="O41" i="1"/>
  <c r="O3" i="1"/>
  <c r="O64" i="1"/>
  <c r="O37" i="1"/>
  <c r="O101" i="1"/>
  <c r="O18" i="1"/>
  <c r="O15" i="1"/>
  <c r="O16" i="1"/>
  <c r="O88" i="1"/>
  <c r="O69" i="1"/>
  <c r="O94" i="1"/>
  <c r="O51" i="1"/>
  <c r="O87" i="1"/>
  <c r="O68" i="1"/>
  <c r="G96" i="1"/>
  <c r="O83" i="1"/>
  <c r="O25" i="1"/>
  <c r="O31" i="1"/>
  <c r="O7" i="1"/>
  <c r="O26" i="1"/>
  <c r="O70" i="1"/>
  <c r="O75" i="1"/>
  <c r="O20" i="1"/>
  <c r="O24" i="1"/>
  <c r="B91" i="1"/>
  <c r="O11" i="1"/>
  <c r="O96" i="1"/>
  <c r="O72" i="1"/>
  <c r="O86" i="1"/>
  <c r="O46" i="1"/>
  <c r="O74" i="1"/>
  <c r="O92" i="1"/>
  <c r="O71" i="1"/>
  <c r="O47" i="1"/>
  <c r="O90" i="1"/>
  <c r="O35" i="1"/>
  <c r="O48" i="1"/>
  <c r="O8" i="1"/>
  <c r="O33" i="1"/>
  <c r="O100" i="1"/>
  <c r="O27" i="1"/>
  <c r="O28" i="1"/>
  <c r="O81" i="1"/>
  <c r="O76" i="1"/>
  <c r="O57" i="1"/>
  <c r="O34" i="1"/>
  <c r="O54" i="1"/>
  <c r="O84" i="1"/>
  <c r="O19" i="1"/>
  <c r="O55" i="1"/>
  <c r="O40" i="1"/>
  <c r="O62" i="1"/>
  <c r="O17" i="1"/>
  <c r="O10" i="1"/>
  <c r="O29" i="1"/>
  <c r="O45" i="1"/>
  <c r="O38" i="1"/>
  <c r="O2" i="1"/>
  <c r="O4" i="1"/>
  <c r="F96" i="1"/>
  <c r="G97" i="1" s="1"/>
  <c r="O60" i="1"/>
  <c r="O44" i="1"/>
  <c r="O52" i="1"/>
  <c r="O56" i="1"/>
  <c r="O21" i="1"/>
  <c r="O42" i="1"/>
  <c r="O6" i="1"/>
  <c r="O53" i="1"/>
  <c r="O49" i="1"/>
  <c r="O97" i="1"/>
  <c r="O79" i="1"/>
  <c r="O65" i="1"/>
  <c r="O30" i="1"/>
  <c r="O36" i="1"/>
  <c r="O102" i="1"/>
  <c r="O14" i="1"/>
  <c r="O85" i="1"/>
  <c r="O22" i="1"/>
  <c r="O95" i="1"/>
  <c r="O91" i="1"/>
  <c r="O82" i="1"/>
  <c r="O98" i="1"/>
  <c r="O80" i="1"/>
  <c r="O66" i="1"/>
  <c r="O63" i="1"/>
</calcChain>
</file>

<file path=xl/sharedStrings.xml><?xml version="1.0" encoding="utf-8"?>
<sst xmlns="http://schemas.openxmlformats.org/spreadsheetml/2006/main" count="199" uniqueCount="114">
  <si>
    <t>*All data are provided in KZT (tenge)</t>
  </si>
  <si>
    <t>Assumptions about units</t>
  </si>
  <si>
    <t>Rate</t>
  </si>
  <si>
    <t>NPV</t>
  </si>
  <si>
    <t>Name</t>
  </si>
  <si>
    <t>Price in KZT/ quantity</t>
  </si>
  <si>
    <t>Comments</t>
  </si>
  <si>
    <t>​​App for tracking home-made food nearby</t>
  </si>
  <si>
    <t>Inflation rate</t>
  </si>
  <si>
    <t>Revenue Projections</t>
  </si>
  <si>
    <t>Year 1</t>
  </si>
  <si>
    <t>Year 2</t>
  </si>
  <si>
    <t>Year 3</t>
  </si>
  <si>
    <t>Year 4</t>
  </si>
  <si>
    <t>Year 5</t>
  </si>
  <si>
    <t>Number of orders</t>
  </si>
  <si>
    <t>Commission for delivery</t>
  </si>
  <si>
    <t>Orders per day</t>
  </si>
  <si>
    <t>Information source</t>
  </si>
  <si>
    <t>Price</t>
  </si>
  <si>
    <t>Information Source</t>
  </si>
  <si>
    <t>Orders per year</t>
  </si>
  <si>
    <t>Units</t>
  </si>
  <si>
    <t>refer to table 1</t>
  </si>
  <si>
    <t>Annual growth rate</t>
  </si>
  <si>
    <t>Subscription for Customers</t>
  </si>
  <si>
    <t>Number of monthly subscriptions sold</t>
  </si>
  <si>
    <t>Price for a monthly subscription</t>
  </si>
  <si>
    <t>number per day</t>
  </si>
  <si>
    <t>Units sold of a monthly subscription</t>
  </si>
  <si>
    <t>number per month</t>
  </si>
  <si>
    <t>Price for a yearly subscription</t>
  </si>
  <si>
    <t>number per year</t>
  </si>
  <si>
    <t>Units sold of a yearly subscription</t>
  </si>
  <si>
    <t>In-app advertisement</t>
  </si>
  <si>
    <t>Number of yearly subscriptions sold</t>
  </si>
  <si>
    <t>Annual profit</t>
  </si>
  <si>
    <t>Total</t>
  </si>
  <si>
    <t xml:space="preserve"> </t>
  </si>
  <si>
    <t>Profit from in-app advertisement</t>
  </si>
  <si>
    <t>Profit per month</t>
  </si>
  <si>
    <t>Profit per year</t>
  </si>
  <si>
    <t>Position's name and its mothly salary</t>
  </si>
  <si>
    <t>Number of workers</t>
  </si>
  <si>
    <t>Table 1. Assumptions</t>
  </si>
  <si>
    <t>Position</t>
  </si>
  <si>
    <t>Salary</t>
  </si>
  <si>
    <t>Developers and Programmers</t>
  </si>
  <si>
    <t>UI/UX Designer</t>
  </si>
  <si>
    <t>Market analyst</t>
  </si>
  <si>
    <t>Food Safety Expert</t>
  </si>
  <si>
    <t>Onboarding Manager</t>
  </si>
  <si>
    <t>information source</t>
  </si>
  <si>
    <t>Attorney</t>
  </si>
  <si>
    <t>Marketing and Promotion Team</t>
  </si>
  <si>
    <t>Accountant</t>
  </si>
  <si>
    <t>*The salaries were estimated from website https://hh.kz</t>
  </si>
  <si>
    <t>Salary expenses</t>
  </si>
  <si>
    <t xml:space="preserve">Total </t>
  </si>
  <si>
    <t>Operating expenses</t>
  </si>
  <si>
    <t>Office rent</t>
  </si>
  <si>
    <t>Salaries</t>
  </si>
  <si>
    <t>Application hosting</t>
  </si>
  <si>
    <t>Marketing and advertising</t>
  </si>
  <si>
    <t>Branding</t>
  </si>
  <si>
    <t>Research and development</t>
  </si>
  <si>
    <t>Total Operating Expenses</t>
  </si>
  <si>
    <t>Capital Expenses:</t>
  </si>
  <si>
    <t>Year 0</t>
  </si>
  <si>
    <t>App/platform</t>
  </si>
  <si>
    <t>Office computers (5)</t>
  </si>
  <si>
    <t>Total Capital Expenses</t>
  </si>
  <si>
    <t xml:space="preserve">Total Expenses </t>
  </si>
  <si>
    <t>Fixed assets</t>
  </si>
  <si>
    <t xml:space="preserve">Cost </t>
  </si>
  <si>
    <t>Estimated salvage value, KZT</t>
  </si>
  <si>
    <t>Useful life in years</t>
  </si>
  <si>
    <t>Computers</t>
  </si>
  <si>
    <t>Depreciation and Amortization</t>
  </si>
  <si>
    <t>Cost of Capital</t>
  </si>
  <si>
    <t>Tax</t>
  </si>
  <si>
    <t>Growth rate</t>
  </si>
  <si>
    <t>Year</t>
  </si>
  <si>
    <t>Sales</t>
  </si>
  <si>
    <t>Gross Profit</t>
  </si>
  <si>
    <t>Total expenses</t>
  </si>
  <si>
    <t>Earning before Interest and Taxes</t>
  </si>
  <si>
    <t>Income tax 20 %</t>
  </si>
  <si>
    <t>Net Operating Profit after Tax</t>
  </si>
  <si>
    <t>Less: CAPEX</t>
  </si>
  <si>
    <t>Less: Increase in NWC</t>
  </si>
  <si>
    <t>NWC is 0 as cash=investment, no inventories as we provide services</t>
  </si>
  <si>
    <t>Free Cash Flows</t>
  </si>
  <si>
    <t>Terminal Value</t>
  </si>
  <si>
    <t>FCF with TV</t>
  </si>
  <si>
    <t>PV</t>
  </si>
  <si>
    <t>IRR</t>
  </si>
  <si>
    <t>Payback period</t>
  </si>
  <si>
    <t>Years</t>
  </si>
  <si>
    <t>Total Cash Flows</t>
  </si>
  <si>
    <t>Break even point</t>
  </si>
  <si>
    <t xml:space="preserve"> in months 0.858 years is 10 months</t>
  </si>
  <si>
    <t>4 years and 10 months are needed to recover investments made</t>
  </si>
  <si>
    <t>NPV yearly estimation</t>
  </si>
  <si>
    <r>
      <rPr>
        <b/>
        <sz val="12"/>
        <color theme="1"/>
        <rFont val="Times New Roman"/>
      </rPr>
      <t>Follow-up notes:</t>
    </r>
    <r>
      <rPr>
        <sz val="12"/>
        <color theme="1"/>
        <rFont val="Times New Roman"/>
      </rPr>
      <t xml:space="preserve"> Our business idea is an app for tracking home-made food nearby. Our users are housewives and disabled people cooking healthy food from home, customers searching for fresh home-made food nearby, and deliverymen getting delivery orders also via our app. Our main revenue sources are subscriptions for customers and delivery. It must be noted that we do not have commissions and subscriptions for food preparers as they belong to the socially and economically vulnerable group, and we self-identify as a social business project.  Moreover, you can see from our tables that we did not spend much finances on equipment and office as we are an IT-company. We are planning to hire freelance specialists, and use our office for work meetings only. The specifics of our project also require hiring a food safety expert. To launch the app we also had such expenses as hosting and app/platform.</t>
    </r>
  </si>
  <si>
    <t>R1T6</t>
  </si>
  <si>
    <t>Abdumazitov Assadbek</t>
  </si>
  <si>
    <t>Aibar Ibrayev</t>
  </si>
  <si>
    <t>Zhuldyz Karamatdinova</t>
  </si>
  <si>
    <t>Sara Khantore</t>
  </si>
  <si>
    <t>Merey Kunakbayeva</t>
  </si>
  <si>
    <t>Altynay Mussakhanova</t>
  </si>
  <si>
    <t>Uran Timurbekov</t>
  </si>
  <si>
    <t>Linear Depreciation per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</si>
</sst>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0"/>
      <color rgb="FF000000"/>
      <name val="Arial"/>
      <scheme val="minor"/>
    </font>
    <font>
      <sz val="12"/>
      <color rgb="FF000000"/>
      <name val="Times New Roman"/>
    </font>
    <font>
      <sz val="12"/>
      <color theme="1"/>
      <name val="Times New Roman"/>
    </font>
    <font>
      <b/>
      <sz val="12"/>
      <color rgb="FF1F1F1F"/>
      <name val="Times New Roman"/>
    </font>
    <font>
      <b/>
      <sz val="12"/>
      <color theme="1"/>
      <name val="Times New Roman"/>
    </font>
    <font>
      <sz val="10"/>
      <name val="Arial"/>
    </font>
    <font>
      <sz val="12"/>
      <color rgb="FF000000"/>
      <name val="&quot;Times New Roman&quot;"/>
    </font>
    <font>
      <u/>
      <sz val="12"/>
      <color rgb="FF0000FF"/>
      <name val="Times New Roman"/>
    </font>
    <font>
      <u/>
      <sz val="12"/>
      <color rgb="FF0000FF"/>
      <name val="Times New Roman"/>
    </font>
    <font>
      <u/>
      <sz val="12"/>
      <color rgb="FF0000FF"/>
      <name val="Times New Roman"/>
    </font>
    <font>
      <u/>
      <sz val="12"/>
      <color rgb="FF000000"/>
      <name val="Times New Roman"/>
    </font>
    <font>
      <u/>
      <sz val="12"/>
      <color rgb="FF0000FF"/>
      <name val="Times New Roman"/>
    </font>
    <font>
      <u/>
      <sz val="12"/>
      <color rgb="FF0000FF"/>
      <name val="Times New Roman"/>
    </font>
    <font>
      <u/>
      <sz val="12"/>
      <color rgb="FF0000FF"/>
      <name val="Times New Roman"/>
    </font>
    <font>
      <b/>
      <sz val="12"/>
      <color rgb="FF1F1F1F"/>
      <name val="&quot;Times New Roman&quot;"/>
    </font>
    <font>
      <u/>
      <sz val="12"/>
      <color rgb="FF0000FF"/>
      <name val="Times New Roman"/>
    </font>
    <font>
      <u/>
      <sz val="12"/>
      <color rgb="FF000000"/>
      <name val="Times New Roman"/>
    </font>
    <font>
      <sz val="12"/>
      <color rgb="FF1F1F1F"/>
      <name val="Times New Roman"/>
    </font>
    <font>
      <u/>
      <sz val="12"/>
      <color rgb="FF0000FF"/>
      <name val="Times New Roman"/>
    </font>
    <font>
      <b/>
      <sz val="10"/>
      <color theme="1"/>
      <name val="Arial"/>
      <scheme val="minor"/>
    </font>
    <font>
      <u/>
      <sz val="12"/>
      <color rgb="FF1155CC"/>
      <name val="Times New Roman"/>
    </font>
    <font>
      <u/>
      <sz val="12"/>
      <color rgb="FF0000FF"/>
      <name val="Times New Roman"/>
    </font>
    <font>
      <b/>
      <sz val="12"/>
      <color rgb="FF000000"/>
      <name val="Times New Roman"/>
    </font>
    <font>
      <b/>
      <sz val="12"/>
      <color rgb="FF000000"/>
      <name val="&quot;Times New Roman&quot;"/>
    </font>
    <font>
      <sz val="10"/>
      <color theme="1"/>
      <name val="Arial"/>
      <scheme val="minor"/>
    </font>
    <font>
      <b/>
      <sz val="14"/>
      <color rgb="FF000000"/>
      <name val="&quot;Times New Roman&quot;"/>
    </font>
    <font>
      <sz val="13"/>
      <color rgb="FF000000"/>
      <name val="&quot;Times New Roman&quot;"/>
    </font>
    <font>
      <u/>
      <sz val="10"/>
      <color theme="10"/>
      <name val="Arial"/>
      <scheme val="minor"/>
    </font>
    <font>
      <sz val="13"/>
      <color theme="1"/>
      <name val="Times New Roman"/>
      <family val="1"/>
      <charset val="204"/>
    </font>
    <font>
      <u/>
      <sz val="12"/>
      <color theme="10"/>
      <name val="Times New Roman"/>
      <family val="1"/>
      <charset val="204"/>
    </font>
  </fonts>
  <fills count="4">
    <fill>
      <patternFill patternType="none"/>
    </fill>
    <fill>
      <patternFill patternType="gray125"/>
    </fill>
    <fill>
      <patternFill patternType="solid">
        <fgColor rgb="FFFFFFFF"/>
        <bgColor rgb="FFFFFFFF"/>
      </patternFill>
    </fill>
    <fill>
      <patternFill patternType="solid">
        <fgColor rgb="FFCFE2F3"/>
        <bgColor rgb="FFCFE2F3"/>
      </patternFill>
    </fill>
  </fills>
  <borders count="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s>
  <cellStyleXfs count="2">
    <xf numFmtId="0" fontId="0" fillId="0" borderId="0"/>
    <xf numFmtId="0" fontId="27" fillId="0" borderId="0" applyNumberFormat="0" applyFill="0" applyBorder="0" applyAlignment="0" applyProtection="0"/>
  </cellStyleXfs>
  <cellXfs count="97">
    <xf numFmtId="0" fontId="0" fillId="0" borderId="0" xfId="0"/>
    <xf numFmtId="0" fontId="1" fillId="2" borderId="0" xfId="0" applyFont="1" applyFill="1"/>
    <xf numFmtId="0" fontId="2" fillId="0" borderId="0" xfId="0" applyFont="1" applyAlignment="1">
      <alignment vertical="top"/>
    </xf>
    <xf numFmtId="0" fontId="3" fillId="2" borderId="0" xfId="0" applyFont="1" applyFill="1" applyAlignment="1">
      <alignment vertical="top"/>
    </xf>
    <xf numFmtId="0" fontId="2" fillId="0" borderId="0" xfId="0" applyFont="1"/>
    <xf numFmtId="0" fontId="6" fillId="3" borderId="4" xfId="0" applyFont="1" applyFill="1" applyBorder="1"/>
    <xf numFmtId="0" fontId="6" fillId="3" borderId="3" xfId="0" applyFont="1" applyFill="1" applyBorder="1"/>
    <xf numFmtId="0" fontId="2" fillId="3" borderId="1" xfId="0" applyFont="1" applyFill="1" applyBorder="1" applyAlignment="1">
      <alignment horizontal="center" wrapText="1"/>
    </xf>
    <xf numFmtId="0" fontId="2" fillId="3" borderId="2" xfId="0" applyFont="1" applyFill="1" applyBorder="1" applyAlignment="1">
      <alignment horizontal="center" wrapText="1"/>
    </xf>
    <xf numFmtId="0" fontId="2" fillId="3" borderId="3" xfId="0" applyFont="1" applyFill="1" applyBorder="1" applyAlignment="1">
      <alignment horizontal="center" wrapText="1"/>
    </xf>
    <xf numFmtId="9" fontId="6" fillId="0" borderId="5" xfId="0" applyNumberFormat="1" applyFont="1" applyBorder="1" applyAlignment="1">
      <alignment horizontal="right"/>
    </xf>
    <xf numFmtId="4" fontId="6" fillId="3" borderId="4" xfId="0" applyNumberFormat="1" applyFont="1" applyFill="1" applyBorder="1" applyAlignment="1">
      <alignment horizontal="right"/>
    </xf>
    <xf numFmtId="0" fontId="2" fillId="0" borderId="4" xfId="0" applyFont="1" applyBorder="1" applyAlignment="1">
      <alignment wrapText="1"/>
    </xf>
    <xf numFmtId="10" fontId="2" fillId="0" borderId="4" xfId="0" applyNumberFormat="1" applyFont="1" applyBorder="1" applyAlignment="1">
      <alignment wrapText="1"/>
    </xf>
    <xf numFmtId="0" fontId="7" fillId="0" borderId="4" xfId="0" applyFont="1" applyBorder="1" applyAlignment="1">
      <alignment wrapText="1"/>
    </xf>
    <xf numFmtId="0" fontId="2" fillId="2" borderId="4" xfId="0" applyFont="1" applyFill="1" applyBorder="1" applyAlignment="1">
      <alignment horizontal="center" vertical="top"/>
    </xf>
    <xf numFmtId="0" fontId="2" fillId="2" borderId="4" xfId="0" applyFont="1" applyFill="1" applyBorder="1" applyAlignment="1">
      <alignment vertical="top" wrapText="1"/>
    </xf>
    <xf numFmtId="0" fontId="2" fillId="2" borderId="0" xfId="0" applyFont="1" applyFill="1" applyAlignment="1">
      <alignment vertical="top"/>
    </xf>
    <xf numFmtId="0" fontId="1" fillId="2" borderId="0" xfId="0" applyFont="1" applyFill="1" applyAlignment="1">
      <alignment vertical="top"/>
    </xf>
    <xf numFmtId="0" fontId="2" fillId="2" borderId="4" xfId="0" applyFont="1" applyFill="1" applyBorder="1" applyAlignment="1">
      <alignment wrapText="1"/>
    </xf>
    <xf numFmtId="0" fontId="1" fillId="2" borderId="4" xfId="0" applyFont="1" applyFill="1" applyBorder="1" applyAlignment="1">
      <alignment wrapText="1"/>
    </xf>
    <xf numFmtId="0" fontId="8" fillId="2" borderId="4" xfId="0" applyFont="1" applyFill="1" applyBorder="1" applyAlignment="1">
      <alignment wrapText="1"/>
    </xf>
    <xf numFmtId="0" fontId="2" fillId="0" borderId="0" xfId="0" applyFont="1" applyAlignment="1">
      <alignment wrapText="1"/>
    </xf>
    <xf numFmtId="0" fontId="2" fillId="3" borderId="4" xfId="0" applyFont="1" applyFill="1" applyBorder="1" applyAlignment="1">
      <alignment horizontal="center" vertical="top"/>
    </xf>
    <xf numFmtId="0" fontId="9" fillId="2" borderId="4" xfId="0" applyFont="1" applyFill="1" applyBorder="1" applyAlignment="1">
      <alignment horizontal="left" vertical="top" wrapText="1"/>
    </xf>
    <xf numFmtId="0" fontId="2" fillId="2" borderId="0" xfId="0" applyFont="1" applyFill="1" applyAlignment="1">
      <alignment horizontal="left" vertical="top"/>
    </xf>
    <xf numFmtId="0" fontId="10" fillId="2" borderId="4" xfId="0" applyFont="1" applyFill="1" applyBorder="1" applyAlignment="1">
      <alignment vertical="top" wrapText="1"/>
    </xf>
    <xf numFmtId="0" fontId="11" fillId="2" borderId="4" xfId="0" applyFont="1" applyFill="1" applyBorder="1" applyAlignment="1">
      <alignment vertical="top" wrapText="1"/>
    </xf>
    <xf numFmtId="0" fontId="2" fillId="2" borderId="4" xfId="0" applyFont="1" applyFill="1" applyBorder="1" applyAlignment="1">
      <alignment horizontal="center" vertical="top" wrapText="1"/>
    </xf>
    <xf numFmtId="0" fontId="1" fillId="2" borderId="0" xfId="0" applyFont="1" applyFill="1" applyAlignment="1">
      <alignment horizontal="left" vertical="top"/>
    </xf>
    <xf numFmtId="4" fontId="2" fillId="2" borderId="4" xfId="0" applyNumberFormat="1" applyFont="1" applyFill="1" applyBorder="1" applyAlignment="1">
      <alignment horizontal="center" vertical="top"/>
    </xf>
    <xf numFmtId="0" fontId="4" fillId="3" borderId="4" xfId="0" applyFont="1" applyFill="1" applyBorder="1" applyAlignment="1">
      <alignment horizontal="center" vertical="top"/>
    </xf>
    <xf numFmtId="0" fontId="2" fillId="2" borderId="0" xfId="0" applyFont="1" applyFill="1"/>
    <xf numFmtId="0" fontId="2" fillId="0" borderId="4" xfId="0" applyFont="1" applyBorder="1"/>
    <xf numFmtId="0" fontId="13" fillId="0" borderId="4" xfId="0" applyFont="1" applyBorder="1"/>
    <xf numFmtId="0" fontId="4" fillId="2" borderId="0" xfId="0" applyFont="1" applyFill="1"/>
    <xf numFmtId="0" fontId="14" fillId="2" borderId="0" xfId="0" applyFont="1" applyFill="1" applyAlignment="1">
      <alignment horizontal="left"/>
    </xf>
    <xf numFmtId="0" fontId="4" fillId="3" borderId="4" xfId="0" applyFont="1" applyFill="1" applyBorder="1"/>
    <xf numFmtId="0" fontId="2" fillId="3" borderId="4" xfId="0" applyFont="1" applyFill="1" applyBorder="1"/>
    <xf numFmtId="4" fontId="2" fillId="2" borderId="4" xfId="0" applyNumberFormat="1" applyFont="1" applyFill="1" applyBorder="1" applyAlignment="1">
      <alignment horizontal="right"/>
    </xf>
    <xf numFmtId="0" fontId="15" fillId="2" borderId="0" xfId="0" applyFont="1" applyFill="1"/>
    <xf numFmtId="0" fontId="2" fillId="2" borderId="4" xfId="0" applyFont="1" applyFill="1" applyBorder="1" applyAlignment="1">
      <alignment horizontal="right"/>
    </xf>
    <xf numFmtId="4" fontId="2" fillId="2" borderId="4" xfId="0" applyNumberFormat="1" applyFont="1" applyFill="1" applyBorder="1"/>
    <xf numFmtId="0" fontId="2" fillId="2" borderId="4" xfId="0" applyFont="1" applyFill="1" applyBorder="1"/>
    <xf numFmtId="0" fontId="16" fillId="0" borderId="0" xfId="0" applyFont="1"/>
    <xf numFmtId="0" fontId="17" fillId="2" borderId="0" xfId="0" applyFont="1" applyFill="1"/>
    <xf numFmtId="0" fontId="18" fillId="0" borderId="0" xfId="0" applyFont="1"/>
    <xf numFmtId="0" fontId="4" fillId="0" borderId="0" xfId="0" applyFont="1"/>
    <xf numFmtId="0" fontId="19" fillId="0" borderId="0" xfId="0" applyFont="1"/>
    <xf numFmtId="0" fontId="20" fillId="2" borderId="0" xfId="0" applyFont="1" applyFill="1"/>
    <xf numFmtId="0" fontId="21" fillId="0" borderId="0" xfId="0" applyFont="1"/>
    <xf numFmtId="0" fontId="17" fillId="3" borderId="4" xfId="0" applyFont="1" applyFill="1" applyBorder="1"/>
    <xf numFmtId="4" fontId="2" fillId="0" borderId="4" xfId="0" applyNumberFormat="1" applyFont="1" applyBorder="1"/>
    <xf numFmtId="0" fontId="22" fillId="3" borderId="4" xfId="0" applyFont="1" applyFill="1" applyBorder="1" applyAlignment="1">
      <alignment wrapText="1"/>
    </xf>
    <xf numFmtId="0" fontId="1" fillId="3" borderId="4" xfId="0" applyFont="1" applyFill="1" applyBorder="1" applyAlignment="1">
      <alignment wrapText="1"/>
    </xf>
    <xf numFmtId="0" fontId="2" fillId="3" borderId="4" xfId="0" applyFont="1" applyFill="1" applyBorder="1" applyAlignment="1">
      <alignment wrapText="1"/>
    </xf>
    <xf numFmtId="4" fontId="1" fillId="2" borderId="4" xfId="0" applyNumberFormat="1" applyFont="1" applyFill="1" applyBorder="1" applyAlignment="1">
      <alignment horizontal="right" wrapText="1"/>
    </xf>
    <xf numFmtId="0" fontId="1" fillId="2" borderId="4" xfId="0" applyFont="1" applyFill="1" applyBorder="1" applyAlignment="1">
      <alignment horizontal="right" wrapText="1"/>
    </xf>
    <xf numFmtId="0" fontId="1" fillId="3" borderId="4" xfId="0" applyFont="1" applyFill="1" applyBorder="1"/>
    <xf numFmtId="10" fontId="1" fillId="0" borderId="4" xfId="0" applyNumberFormat="1" applyFont="1" applyBorder="1" applyAlignment="1">
      <alignment horizontal="right"/>
    </xf>
    <xf numFmtId="0" fontId="2" fillId="3" borderId="4" xfId="0" applyFont="1" applyFill="1" applyBorder="1" applyAlignment="1">
      <alignment horizontal="center"/>
    </xf>
    <xf numFmtId="0" fontId="22" fillId="3" borderId="4" xfId="0" applyFont="1" applyFill="1" applyBorder="1"/>
    <xf numFmtId="0" fontId="22" fillId="3" borderId="0" xfId="0" applyFont="1" applyFill="1"/>
    <xf numFmtId="9" fontId="2" fillId="0" borderId="4" xfId="0" applyNumberFormat="1" applyFont="1" applyBorder="1"/>
    <xf numFmtId="0" fontId="6" fillId="3" borderId="3" xfId="0" applyFont="1" applyFill="1" applyBorder="1" applyAlignment="1">
      <alignment horizontal="right"/>
    </xf>
    <xf numFmtId="0" fontId="6" fillId="3" borderId="5" xfId="0" applyFont="1" applyFill="1" applyBorder="1" applyAlignment="1">
      <alignment horizontal="left"/>
    </xf>
    <xf numFmtId="4" fontId="6" fillId="0" borderId="6" xfId="0" applyNumberFormat="1" applyFont="1" applyBorder="1" applyAlignment="1">
      <alignment horizontal="right"/>
    </xf>
    <xf numFmtId="0" fontId="6" fillId="3" borderId="5" xfId="0" applyFont="1" applyFill="1" applyBorder="1"/>
    <xf numFmtId="4" fontId="6" fillId="2" borderId="6" xfId="0" applyNumberFormat="1" applyFont="1" applyFill="1" applyBorder="1" applyAlignment="1">
      <alignment horizontal="right"/>
    </xf>
    <xf numFmtId="0" fontId="6" fillId="0" borderId="6" xfId="0" applyFont="1" applyBorder="1"/>
    <xf numFmtId="0" fontId="23" fillId="0" borderId="6" xfId="0" applyFont="1" applyBorder="1"/>
    <xf numFmtId="0" fontId="6" fillId="0" borderId="6" xfId="0" applyFont="1" applyBorder="1" applyAlignment="1">
      <alignment horizontal="right"/>
    </xf>
    <xf numFmtId="0" fontId="24" fillId="0" borderId="0" xfId="0" applyFont="1"/>
    <xf numFmtId="0" fontId="25" fillId="3" borderId="4" xfId="0" applyFont="1" applyFill="1" applyBorder="1"/>
    <xf numFmtId="0" fontId="25" fillId="3" borderId="4" xfId="0" applyFont="1" applyFill="1" applyBorder="1" applyAlignment="1">
      <alignment horizontal="right"/>
    </xf>
    <xf numFmtId="0" fontId="26" fillId="2" borderId="4" xfId="0" applyFont="1" applyFill="1" applyBorder="1"/>
    <xf numFmtId="4" fontId="26" fillId="2" borderId="4" xfId="0" applyNumberFormat="1" applyFont="1" applyFill="1" applyBorder="1" applyAlignment="1">
      <alignment horizontal="right"/>
    </xf>
    <xf numFmtId="0" fontId="28" fillId="0" borderId="4" xfId="0" applyFont="1" applyBorder="1"/>
    <xf numFmtId="0" fontId="29" fillId="0" borderId="4" xfId="1" applyFont="1" applyBorder="1" applyAlignment="1">
      <alignment wrapText="1"/>
    </xf>
    <xf numFmtId="4" fontId="2" fillId="2" borderId="1" xfId="0" applyNumberFormat="1" applyFont="1" applyFill="1" applyBorder="1" applyAlignment="1">
      <alignment horizontal="center" vertical="top"/>
    </xf>
    <xf numFmtId="0" fontId="2" fillId="2" borderId="5" xfId="0" applyFont="1" applyFill="1" applyBorder="1" applyAlignment="1">
      <alignment vertical="top" wrapText="1"/>
    </xf>
    <xf numFmtId="4" fontId="12" fillId="2" borderId="7" xfId="0" applyNumberFormat="1" applyFont="1" applyFill="1" applyBorder="1" applyAlignment="1">
      <alignment horizontal="center" vertical="top"/>
    </xf>
    <xf numFmtId="0" fontId="24" fillId="0" borderId="0" xfId="0" applyFont="1" applyAlignment="1">
      <alignment wrapText="1"/>
    </xf>
    <xf numFmtId="0" fontId="0" fillId="0" borderId="0" xfId="0"/>
    <xf numFmtId="0" fontId="4" fillId="3" borderId="1" xfId="0" applyFont="1" applyFill="1" applyBorder="1" applyAlignment="1">
      <alignment horizontal="center"/>
    </xf>
    <xf numFmtId="0" fontId="5" fillId="0" borderId="2" xfId="0" applyFont="1" applyBorder="1"/>
    <xf numFmtId="0" fontId="5" fillId="0" borderId="3" xfId="0" applyFont="1" applyBorder="1"/>
    <xf numFmtId="0" fontId="23" fillId="2" borderId="0" xfId="0" applyFont="1" applyFill="1" applyAlignment="1">
      <alignment horizontal="center"/>
    </xf>
    <xf numFmtId="0" fontId="4" fillId="0" borderId="1" xfId="0" applyFont="1" applyBorder="1" applyAlignment="1">
      <alignment horizontal="center" wrapText="1"/>
    </xf>
    <xf numFmtId="0" fontId="3" fillId="3" borderId="1" xfId="0" applyFont="1" applyFill="1" applyBorder="1" applyAlignment="1">
      <alignment horizontal="center" vertical="top"/>
    </xf>
    <xf numFmtId="0" fontId="2" fillId="3" borderId="1" xfId="0" applyFont="1" applyFill="1" applyBorder="1" applyAlignment="1">
      <alignment horizontal="center" wrapText="1"/>
    </xf>
    <xf numFmtId="0" fontId="3" fillId="3" borderId="1" xfId="0" applyFont="1" applyFill="1" applyBorder="1" applyAlignment="1">
      <alignment horizontal="center"/>
    </xf>
    <xf numFmtId="0" fontId="4" fillId="3" borderId="1" xfId="0" applyFont="1" applyFill="1" applyBorder="1" applyAlignment="1">
      <alignment horizontal="center" vertical="top"/>
    </xf>
    <xf numFmtId="0" fontId="2" fillId="2" borderId="0" xfId="0" applyFont="1" applyFill="1" applyAlignment="1">
      <alignment vertical="top"/>
    </xf>
    <xf numFmtId="0" fontId="5" fillId="0" borderId="8" xfId="0" applyFont="1" applyBorder="1"/>
    <xf numFmtId="0" fontId="2" fillId="3" borderId="1" xfId="0" applyFont="1" applyFill="1" applyBorder="1" applyAlignment="1">
      <alignment wrapText="1"/>
    </xf>
    <xf numFmtId="0" fontId="4" fillId="0" borderId="0" xfId="0" applyFont="1" applyAlignment="1">
      <alignment horizontal="center"/>
    </xf>
  </cellXfs>
  <cellStyles count="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FCF vs Year</a:t>
            </a:r>
          </a:p>
        </c:rich>
      </c:tx>
      <c:overlay val="0"/>
      <c:spPr>
        <a:noFill/>
        <a:ln>
          <a:noFill/>
        </a:ln>
        <a:effectLst/>
      </c:spPr>
    </c:title>
    <c:autoTitleDeleted val="0"/>
    <c:plotArea>
      <c:layout/>
      <c:barChart>
        <c:barDir val="col"/>
        <c:grouping val="clustered"/>
        <c:varyColors val="1"/>
        <c:ser>
          <c:idx val="0"/>
          <c:order val="0"/>
          <c:tx>
            <c:v>Year 0</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1"/>
          <c:val>
            <c:numRef>
              <c:f>'Income Statement'!$B$86</c:f>
              <c:numCache>
                <c:formatCode>#,##0.00</c:formatCode>
                <c:ptCount val="1"/>
                <c:pt idx="0">
                  <c:v>-3000000</c:v>
                </c:pt>
              </c:numCache>
            </c:numRef>
          </c:val>
          <c:extLst>
            <c:ext xmlns:c16="http://schemas.microsoft.com/office/drawing/2014/chart" uri="{C3380CC4-5D6E-409C-BE32-E72D297353CC}">
              <c16:uniqueId val="{00000000-FD40-4924-8306-6ADB29DDAE61}"/>
            </c:ext>
          </c:extLst>
        </c:ser>
        <c:ser>
          <c:idx val="1"/>
          <c:order val="1"/>
          <c:tx>
            <c:v>Year 1</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1"/>
          <c:val>
            <c:numRef>
              <c:f>'Income Statement'!$C$86</c:f>
              <c:numCache>
                <c:formatCode>#,##0.00</c:formatCode>
                <c:ptCount val="1"/>
                <c:pt idx="0">
                  <c:v>-9673360</c:v>
                </c:pt>
              </c:numCache>
            </c:numRef>
          </c:val>
          <c:extLst>
            <c:ext xmlns:c16="http://schemas.microsoft.com/office/drawing/2014/chart" uri="{C3380CC4-5D6E-409C-BE32-E72D297353CC}">
              <c16:uniqueId val="{00000001-FD40-4924-8306-6ADB29DDAE61}"/>
            </c:ext>
          </c:extLst>
        </c:ser>
        <c:ser>
          <c:idx val="2"/>
          <c:order val="2"/>
          <c:tx>
            <c:v>Year 2</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1"/>
          <c:val>
            <c:numRef>
              <c:f>'Income Statement'!$D$86</c:f>
              <c:numCache>
                <c:formatCode>#,##0.00</c:formatCode>
                <c:ptCount val="1"/>
                <c:pt idx="0">
                  <c:v>-6254147.2000000002</c:v>
                </c:pt>
              </c:numCache>
            </c:numRef>
          </c:val>
          <c:extLst>
            <c:ext xmlns:c16="http://schemas.microsoft.com/office/drawing/2014/chart" uri="{C3380CC4-5D6E-409C-BE32-E72D297353CC}">
              <c16:uniqueId val="{00000002-FD40-4924-8306-6ADB29DDAE61}"/>
            </c:ext>
          </c:extLst>
        </c:ser>
        <c:ser>
          <c:idx val="3"/>
          <c:order val="3"/>
          <c:tx>
            <c:v>Year 3</c:v>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1"/>
          <c:val>
            <c:numRef>
              <c:f>'Income Statement'!$E$86</c:f>
              <c:numCache>
                <c:formatCode>#,##0.00</c:formatCode>
                <c:ptCount val="1"/>
                <c:pt idx="0">
                  <c:v>-6898118.4000000004</c:v>
                </c:pt>
              </c:numCache>
            </c:numRef>
          </c:val>
          <c:extLst>
            <c:ext xmlns:c16="http://schemas.microsoft.com/office/drawing/2014/chart" uri="{C3380CC4-5D6E-409C-BE32-E72D297353CC}">
              <c16:uniqueId val="{00000003-FD40-4924-8306-6ADB29DDAE61}"/>
            </c:ext>
          </c:extLst>
        </c:ser>
        <c:ser>
          <c:idx val="4"/>
          <c:order val="4"/>
          <c:tx>
            <c:v>Year 4</c:v>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1"/>
          <c:val>
            <c:numRef>
              <c:f>'Income Statement'!$F$86</c:f>
              <c:numCache>
                <c:formatCode>#,##0.00</c:formatCode>
                <c:ptCount val="1"/>
                <c:pt idx="0">
                  <c:v>145553.60000000001</c:v>
                </c:pt>
              </c:numCache>
            </c:numRef>
          </c:val>
          <c:extLst>
            <c:ext xmlns:c16="http://schemas.microsoft.com/office/drawing/2014/chart" uri="{C3380CC4-5D6E-409C-BE32-E72D297353CC}">
              <c16:uniqueId val="{00000004-FD40-4924-8306-6ADB29DDAE61}"/>
            </c:ext>
          </c:extLst>
        </c:ser>
        <c:ser>
          <c:idx val="5"/>
          <c:order val="5"/>
          <c:tx>
            <c:v>Year 5</c:v>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1"/>
          <c:val>
            <c:numRef>
              <c:f>'Income Statement'!$G$86</c:f>
              <c:numCache>
                <c:formatCode>#,##0.00</c:formatCode>
                <c:ptCount val="1"/>
                <c:pt idx="0">
                  <c:v>7869100.7999999998</c:v>
                </c:pt>
              </c:numCache>
            </c:numRef>
          </c:val>
          <c:extLst>
            <c:ext xmlns:c16="http://schemas.microsoft.com/office/drawing/2014/chart" uri="{C3380CC4-5D6E-409C-BE32-E72D297353CC}">
              <c16:uniqueId val="{00000005-FD40-4924-8306-6ADB29DDAE61}"/>
            </c:ext>
          </c:extLst>
        </c:ser>
        <c:dLbls>
          <c:showLegendKey val="0"/>
          <c:showVal val="0"/>
          <c:showCatName val="0"/>
          <c:showSerName val="0"/>
          <c:showPercent val="0"/>
          <c:showBubbleSize val="0"/>
        </c:dLbls>
        <c:gapWidth val="100"/>
        <c:overlap val="-24"/>
        <c:axId val="2078392139"/>
        <c:axId val="1498742350"/>
      </c:barChart>
      <c:catAx>
        <c:axId val="207839213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rich>
          </c:tx>
          <c:overlay val="0"/>
          <c:spPr>
            <a:noFill/>
            <a:ln>
              <a:noFill/>
            </a:ln>
            <a:effectLst/>
          </c:sp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98742350"/>
        <c:crosses val="autoZero"/>
        <c:auto val="1"/>
        <c:lblAlgn val="ctr"/>
        <c:lblOffset val="100"/>
        <c:noMultiLvlLbl val="1"/>
      </c:catAx>
      <c:valAx>
        <c:axId val="149874235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rich>
          </c:tx>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0783921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Net Income vs. Years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ru-RU"/>
        </a:p>
      </c:txPr>
    </c:title>
    <c:autoTitleDeleted val="0"/>
    <c:plotArea>
      <c:layout/>
      <c:lineChart>
        <c:grouping val="standard"/>
        <c:varyColors val="0"/>
        <c:ser>
          <c:idx val="0"/>
          <c:order val="0"/>
          <c:tx>
            <c:strRef>
              <c:f>'Income Statement'!$T$102</c:f>
              <c:strCache>
                <c:ptCount val="1"/>
                <c:pt idx="0">
                  <c:v>Net Operating Profit after Tax</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'Income Statement'!$U$101:$Z$101</c:f>
              <c:numCache>
                <c:formatCode>General</c:formatCode>
                <c:ptCount val="6"/>
                <c:pt idx="0">
                  <c:v>0</c:v>
                </c:pt>
                <c:pt idx="1">
                  <c:v>1</c:v>
                </c:pt>
                <c:pt idx="2">
                  <c:v>2</c:v>
                </c:pt>
                <c:pt idx="3">
                  <c:v>3</c:v>
                </c:pt>
                <c:pt idx="4">
                  <c:v>4</c:v>
                </c:pt>
                <c:pt idx="5">
                  <c:v>5</c:v>
                </c:pt>
              </c:numCache>
            </c:numRef>
          </c:cat>
          <c:val>
            <c:numRef>
              <c:f>'Income Statement'!$U$102:$Z$102</c:f>
              <c:numCache>
                <c:formatCode>#,##0.00</c:formatCode>
                <c:ptCount val="6"/>
                <c:pt idx="0" formatCode="General">
                  <c:v>0</c:v>
                </c:pt>
                <c:pt idx="1">
                  <c:v>-10023360</c:v>
                </c:pt>
                <c:pt idx="2">
                  <c:v>-6604147.2000000002</c:v>
                </c:pt>
                <c:pt idx="3">
                  <c:v>-6748118.4000000004</c:v>
                </c:pt>
                <c:pt idx="4">
                  <c:v>-204446.4</c:v>
                </c:pt>
                <c:pt idx="5">
                  <c:v>7519100.7999999998</c:v>
                </c:pt>
              </c:numCache>
            </c:numRef>
          </c:val>
          <c:smooth val="0"/>
          <c:extLst>
            <c:ext xmlns:c16="http://schemas.microsoft.com/office/drawing/2014/chart" uri="{C3380CC4-5D6E-409C-BE32-E72D297353CC}">
              <c16:uniqueId val="{00000000-01E0-48ED-8A56-F994F752907C}"/>
            </c:ext>
          </c:extLst>
        </c:ser>
        <c:dLbls>
          <c:showLegendKey val="0"/>
          <c:showVal val="0"/>
          <c:showCatName val="0"/>
          <c:showSerName val="0"/>
          <c:showPercent val="0"/>
          <c:showBubbleSize val="0"/>
        </c:dLbls>
        <c:smooth val="0"/>
        <c:axId val="1560363258"/>
        <c:axId val="1292022141"/>
      </c:lineChart>
      <c:catAx>
        <c:axId val="156036325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92022141"/>
        <c:crosses val="autoZero"/>
        <c:auto val="1"/>
        <c:lblAlgn val="ctr"/>
        <c:lblOffset val="100"/>
        <c:noMultiLvlLbl val="1"/>
      </c:catAx>
      <c:valAx>
        <c:axId val="129202214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Net Operating Profit after Tax</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56036325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NPV vs.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lineChart>
        <c:grouping val="standard"/>
        <c:varyColors val="0"/>
        <c:ser>
          <c:idx val="0"/>
          <c:order val="0"/>
          <c:tx>
            <c:strRef>
              <c:f>'Income Statement'!$O$1</c:f>
              <c:strCache>
                <c:ptCount val="1"/>
                <c:pt idx="0">
                  <c:v>NPV</c:v>
                </c:pt>
              </c:strCache>
            </c:strRef>
          </c:tx>
          <c:spPr>
            <a:ln w="28575" cap="rnd">
              <a:solidFill>
                <a:schemeClr val="accent1"/>
              </a:solidFill>
              <a:round/>
            </a:ln>
            <a:effectLst/>
          </c:spPr>
          <c:marker>
            <c:symbol val="none"/>
          </c:marker>
          <c:cat>
            <c:numRef>
              <c:f>'Income Statement'!$N$2:$N$102</c:f>
              <c:numCache>
                <c:formatCode>0%</c:formatCode>
                <c:ptCount val="101"/>
                <c:pt idx="0">
                  <c:v>0</c:v>
                </c:pt>
                <c:pt idx="1">
                  <c:v>0.01</c:v>
                </c:pt>
                <c:pt idx="2">
                  <c:v>0.02</c:v>
                </c:pt>
                <c:pt idx="3">
                  <c:v>0.03</c:v>
                </c:pt>
                <c:pt idx="4">
                  <c:v>0.04</c:v>
                </c:pt>
                <c:pt idx="5">
                  <c:v>0.05</c:v>
                </c:pt>
                <c:pt idx="6">
                  <c:v>0.06</c:v>
                </c:pt>
                <c:pt idx="7">
                  <c:v>7.0000000000000007E-2</c:v>
                </c:pt>
                <c:pt idx="8">
                  <c:v>0.08</c:v>
                </c:pt>
                <c:pt idx="9">
                  <c:v>0.09</c:v>
                </c:pt>
                <c:pt idx="10">
                  <c:v>0.1</c:v>
                </c:pt>
                <c:pt idx="11">
                  <c:v>0.11</c:v>
                </c:pt>
                <c:pt idx="12">
                  <c:v>0.12</c:v>
                </c:pt>
                <c:pt idx="13">
                  <c:v>0.13</c:v>
                </c:pt>
                <c:pt idx="14">
                  <c:v>0.14000000000000001</c:v>
                </c:pt>
                <c:pt idx="15">
                  <c:v>0.15</c:v>
                </c:pt>
                <c:pt idx="16">
                  <c:v>0.16</c:v>
                </c:pt>
                <c:pt idx="17">
                  <c:v>0.17</c:v>
                </c:pt>
                <c:pt idx="18">
                  <c:v>0.18</c:v>
                </c:pt>
                <c:pt idx="19">
                  <c:v>0.19</c:v>
                </c:pt>
                <c:pt idx="20">
                  <c:v>0.2</c:v>
                </c:pt>
                <c:pt idx="21">
                  <c:v>0.21</c:v>
                </c:pt>
                <c:pt idx="22">
                  <c:v>0.22</c:v>
                </c:pt>
                <c:pt idx="23">
                  <c:v>0.23</c:v>
                </c:pt>
                <c:pt idx="24">
                  <c:v>0.24</c:v>
                </c:pt>
                <c:pt idx="25">
                  <c:v>0.25</c:v>
                </c:pt>
                <c:pt idx="26">
                  <c:v>0.26</c:v>
                </c:pt>
                <c:pt idx="27">
                  <c:v>0.27</c:v>
                </c:pt>
                <c:pt idx="28">
                  <c:v>0.28000000000000003</c:v>
                </c:pt>
                <c:pt idx="29">
                  <c:v>0.28999999999999998</c:v>
                </c:pt>
                <c:pt idx="30">
                  <c:v>0.3</c:v>
                </c:pt>
                <c:pt idx="31">
                  <c:v>0.31</c:v>
                </c:pt>
                <c:pt idx="32">
                  <c:v>0.32</c:v>
                </c:pt>
                <c:pt idx="33">
                  <c:v>0.33</c:v>
                </c:pt>
                <c:pt idx="34">
                  <c:v>0.34</c:v>
                </c:pt>
                <c:pt idx="35">
                  <c:v>0.35</c:v>
                </c:pt>
                <c:pt idx="36">
                  <c:v>0.36</c:v>
                </c:pt>
                <c:pt idx="37">
                  <c:v>0.37</c:v>
                </c:pt>
                <c:pt idx="38">
                  <c:v>0.38</c:v>
                </c:pt>
                <c:pt idx="39">
                  <c:v>0.39</c:v>
                </c:pt>
                <c:pt idx="40">
                  <c:v>0.4</c:v>
                </c:pt>
                <c:pt idx="41">
                  <c:v>0.41</c:v>
                </c:pt>
                <c:pt idx="42">
                  <c:v>0.42</c:v>
                </c:pt>
                <c:pt idx="43">
                  <c:v>0.43</c:v>
                </c:pt>
                <c:pt idx="44">
                  <c:v>0.44</c:v>
                </c:pt>
                <c:pt idx="45">
                  <c:v>0.45</c:v>
                </c:pt>
                <c:pt idx="46">
                  <c:v>0.46</c:v>
                </c:pt>
                <c:pt idx="47">
                  <c:v>0.47</c:v>
                </c:pt>
                <c:pt idx="48">
                  <c:v>0.48</c:v>
                </c:pt>
                <c:pt idx="49">
                  <c:v>0.49</c:v>
                </c:pt>
                <c:pt idx="50">
                  <c:v>0.5</c:v>
                </c:pt>
                <c:pt idx="51">
                  <c:v>0.51</c:v>
                </c:pt>
                <c:pt idx="52">
                  <c:v>0.52</c:v>
                </c:pt>
                <c:pt idx="53">
                  <c:v>0.53</c:v>
                </c:pt>
                <c:pt idx="54">
                  <c:v>0.54</c:v>
                </c:pt>
                <c:pt idx="55">
                  <c:v>0.55000000000000004</c:v>
                </c:pt>
                <c:pt idx="56">
                  <c:v>0.56000000000000005</c:v>
                </c:pt>
                <c:pt idx="57">
                  <c:v>0.56999999999999995</c:v>
                </c:pt>
                <c:pt idx="58">
                  <c:v>0.57999999999999996</c:v>
                </c:pt>
                <c:pt idx="59">
                  <c:v>0.59</c:v>
                </c:pt>
                <c:pt idx="60">
                  <c:v>0.6</c:v>
                </c:pt>
                <c:pt idx="61">
                  <c:v>0.61</c:v>
                </c:pt>
                <c:pt idx="62">
                  <c:v>0.62</c:v>
                </c:pt>
                <c:pt idx="63">
                  <c:v>0.63</c:v>
                </c:pt>
                <c:pt idx="64">
                  <c:v>0.64</c:v>
                </c:pt>
                <c:pt idx="65">
                  <c:v>0.65</c:v>
                </c:pt>
                <c:pt idx="66">
                  <c:v>0.66</c:v>
                </c:pt>
                <c:pt idx="67">
                  <c:v>0.67</c:v>
                </c:pt>
                <c:pt idx="68">
                  <c:v>0.68</c:v>
                </c:pt>
                <c:pt idx="69">
                  <c:v>0.69</c:v>
                </c:pt>
                <c:pt idx="70">
                  <c:v>0.7</c:v>
                </c:pt>
                <c:pt idx="71">
                  <c:v>0.71</c:v>
                </c:pt>
                <c:pt idx="72">
                  <c:v>0.72</c:v>
                </c:pt>
                <c:pt idx="73">
                  <c:v>0.73</c:v>
                </c:pt>
                <c:pt idx="74">
                  <c:v>0.74</c:v>
                </c:pt>
                <c:pt idx="75">
                  <c:v>0.75</c:v>
                </c:pt>
                <c:pt idx="76">
                  <c:v>0.76</c:v>
                </c:pt>
                <c:pt idx="77">
                  <c:v>0.77</c:v>
                </c:pt>
                <c:pt idx="78">
                  <c:v>0.78</c:v>
                </c:pt>
                <c:pt idx="79">
                  <c:v>0.79</c:v>
                </c:pt>
                <c:pt idx="80">
                  <c:v>0.8</c:v>
                </c:pt>
                <c:pt idx="81">
                  <c:v>0.81</c:v>
                </c:pt>
                <c:pt idx="82">
                  <c:v>0.82</c:v>
                </c:pt>
                <c:pt idx="83">
                  <c:v>0.83</c:v>
                </c:pt>
                <c:pt idx="84">
                  <c:v>0.84</c:v>
                </c:pt>
                <c:pt idx="85">
                  <c:v>0.85</c:v>
                </c:pt>
                <c:pt idx="86">
                  <c:v>0.86</c:v>
                </c:pt>
                <c:pt idx="87">
                  <c:v>0.87</c:v>
                </c:pt>
                <c:pt idx="88">
                  <c:v>0.88</c:v>
                </c:pt>
                <c:pt idx="89">
                  <c:v>0.89</c:v>
                </c:pt>
                <c:pt idx="90">
                  <c:v>0.9</c:v>
                </c:pt>
                <c:pt idx="91">
                  <c:v>0.91</c:v>
                </c:pt>
                <c:pt idx="92">
                  <c:v>0.92</c:v>
                </c:pt>
                <c:pt idx="93">
                  <c:v>0.93</c:v>
                </c:pt>
                <c:pt idx="94">
                  <c:v>0.94</c:v>
                </c:pt>
                <c:pt idx="95">
                  <c:v>0.95</c:v>
                </c:pt>
                <c:pt idx="96">
                  <c:v>0.96</c:v>
                </c:pt>
                <c:pt idx="97">
                  <c:v>0.97</c:v>
                </c:pt>
                <c:pt idx="98">
                  <c:v>0.98</c:v>
                </c:pt>
                <c:pt idx="99">
                  <c:v>0.99</c:v>
                </c:pt>
                <c:pt idx="100">
                  <c:v>1</c:v>
                </c:pt>
              </c:numCache>
            </c:numRef>
          </c:cat>
          <c:val>
            <c:numRef>
              <c:f>'Income Statement'!$O$2:$O$102</c:f>
              <c:numCache>
                <c:formatCode>#,##0.00</c:formatCode>
                <c:ptCount val="101"/>
                <c:pt idx="0">
                  <c:v>29866521.882352933</c:v>
                </c:pt>
                <c:pt idx="1">
                  <c:v>27586806.58189087</c:v>
                </c:pt>
                <c:pt idx="2">
                  <c:v>25449502.136871982</c:v>
                </c:pt>
                <c:pt idx="3">
                  <c:v>23444801.578598473</c:v>
                </c:pt>
                <c:pt idx="4">
                  <c:v>21563650.544882409</c:v>
                </c:pt>
                <c:pt idx="5">
                  <c:v>19797683.356373742</c:v>
                </c:pt>
                <c:pt idx="6">
                  <c:v>18139165.048321761</c:v>
                </c:pt>
                <c:pt idx="7">
                  <c:v>16580938.754296828</c:v>
                </c:pt>
                <c:pt idx="8">
                  <c:v>15116377.904418282</c:v>
                </c:pt>
                <c:pt idx="9">
                  <c:v>13739342.75890593</c:v>
                </c:pt>
                <c:pt idx="10">
                  <c:v>12444140.849266948</c:v>
                </c:pt>
                <c:pt idx="11">
                  <c:v>11225490.944987332</c:v>
                </c:pt>
                <c:pt idx="12">
                  <c:v>10078490.203948731</c:v>
                </c:pt>
                <c:pt idx="13">
                  <c:v>8998584.2005708776</c:v>
                </c:pt>
                <c:pt idx="14">
                  <c:v>7981539.5574405678</c:v>
                </c:pt>
                <c:pt idx="15">
                  <c:v>7023418.9344118908</c:v>
                </c:pt>
                <c:pt idx="16">
                  <c:v>6120558.1542678531</c:v>
                </c:pt>
                <c:pt idx="17">
                  <c:v>5269545.2663921714</c:v>
                </c:pt>
                <c:pt idx="18">
                  <c:v>4467201.3698268402</c:v>
                </c:pt>
                <c:pt idx="19">
                  <c:v>3710563.0348745519</c:v>
                </c:pt>
                <c:pt idx="20">
                  <c:v>2996866.1782861259</c:v>
                </c:pt>
                <c:pt idx="21">
                  <c:v>2323531.2612724788</c:v>
                </c:pt>
                <c:pt idx="22">
                  <c:v>1688149.6922862949</c:v>
                </c:pt>
                <c:pt idx="23">
                  <c:v>1088471.3278994663</c:v>
                </c:pt>
                <c:pt idx="24">
                  <c:v>522392.97530523129</c:v>
                </c:pt>
                <c:pt idx="25">
                  <c:v>-12052.190870589111</c:v>
                </c:pt>
                <c:pt idx="26">
                  <c:v>-516704.37654239964</c:v>
                </c:pt>
                <c:pt idx="27">
                  <c:v>-993286.15262318915</c:v>
                </c:pt>
                <c:pt idx="28">
                  <c:v>-1443410.7410206576</c:v>
                </c:pt>
                <c:pt idx="29">
                  <c:v>-1868589.661235264</c:v>
                </c:pt>
                <c:pt idx="30">
                  <c:v>-2270239.7912287796</c:v>
                </c:pt>
                <c:pt idx="31">
                  <c:v>-2649689.8913650909</c:v>
                </c:pt>
                <c:pt idx="32">
                  <c:v>-3008186.6358323558</c:v>
                </c:pt>
                <c:pt idx="33">
                  <c:v>-3346900.1919874121</c:v>
                </c:pt>
                <c:pt idx="34">
                  <c:v>-3666929.3844757127</c:v>
                </c:pt>
                <c:pt idx="35">
                  <c:v>-3969306.4777345513</c:v>
                </c:pt>
                <c:pt idx="36">
                  <c:v>-4255001.6075484836</c:v>
                </c:pt>
                <c:pt idx="37">
                  <c:v>-4524926.8896629391</c:v>
                </c:pt>
                <c:pt idx="38">
                  <c:v>-4779940.2310475707</c:v>
                </c:pt>
                <c:pt idx="39">
                  <c:v>-5020848.8672100976</c:v>
                </c:pt>
                <c:pt idx="40">
                  <c:v>-5248412.6469713245</c:v>
                </c:pt>
                <c:pt idx="41">
                  <c:v>-5463347.084304858</c:v>
                </c:pt>
                <c:pt idx="42">
                  <c:v>-5666326.1952003967</c:v>
                </c:pt>
                <c:pt idx="43">
                  <c:v>-5857985.1360141151</c:v>
                </c:pt>
                <c:pt idx="44">
                  <c:v>-6038922.6584073566</c:v>
                </c:pt>
                <c:pt idx="45">
                  <c:v>-6209703.3947337922</c:v>
                </c:pt>
                <c:pt idx="46">
                  <c:v>-6370859.9866038049</c:v>
                </c:pt>
                <c:pt idx="47">
                  <c:v>-6522895.0683225291</c:v>
                </c:pt>
                <c:pt idx="48">
                  <c:v>-6666283.1159555428</c:v>
                </c:pt>
                <c:pt idx="49">
                  <c:v>-6801472.1719154501</c:v>
                </c:pt>
                <c:pt idx="50">
                  <c:v>-6928885.4541757461</c:v>
                </c:pt>
                <c:pt idx="51">
                  <c:v>-7048922.8584987037</c:v>
                </c:pt>
                <c:pt idx="52">
                  <c:v>-7161962.3614055729</c:v>
                </c:pt>
                <c:pt idx="53">
                  <c:v>-7268361.3310142793</c:v>
                </c:pt>
                <c:pt idx="54">
                  <c:v>-7368457.7523174528</c:v>
                </c:pt>
                <c:pt idx="55">
                  <c:v>-7462571.3729670392</c:v>
                </c:pt>
                <c:pt idx="56">
                  <c:v>-7551004.7751673255</c:v>
                </c:pt>
                <c:pt idx="57">
                  <c:v>-7634044.3788518058</c:v>
                </c:pt>
                <c:pt idx="58">
                  <c:v>-7711961.3809277834</c:v>
                </c:pt>
                <c:pt idx="59">
                  <c:v>-7785012.6350130523</c:v>
                </c:pt>
                <c:pt idx="60">
                  <c:v>-7853441.4757582741</c:v>
                </c:pt>
                <c:pt idx="61">
                  <c:v>-7917478.4915445112</c:v>
                </c:pt>
                <c:pt idx="62">
                  <c:v>-7977342.2490657503</c:v>
                </c:pt>
                <c:pt idx="63">
                  <c:v>-8033239.9730483126</c:v>
                </c:pt>
                <c:pt idx="64">
                  <c:v>-8085368.1841220325</c:v>
                </c:pt>
                <c:pt idx="65">
                  <c:v>-8133913.2976390608</c:v>
                </c:pt>
                <c:pt idx="66">
                  <c:v>-8179052.1860347074</c:v>
                </c:pt>
                <c:pt idx="67">
                  <c:v>-8220952.7071385086</c:v>
                </c:pt>
                <c:pt idx="68">
                  <c:v>-8259774.200672064</c:v>
                </c:pt>
                <c:pt idx="69">
                  <c:v>-8295667.9550115811</c:v>
                </c:pt>
                <c:pt idx="70">
                  <c:v>-8328777.6461465536</c:v>
                </c:pt>
                <c:pt idx="71">
                  <c:v>-8359239.7506305808</c:v>
                </c:pt>
                <c:pt idx="72">
                  <c:v>-8387183.9341951748</c:v>
                </c:pt>
                <c:pt idx="73">
                  <c:v>-8412733.4175814744</c:v>
                </c:pt>
                <c:pt idx="74">
                  <c:v>-8436005.321037624</c:v>
                </c:pt>
                <c:pt idx="75">
                  <c:v>-8457110.9888302851</c:v>
                </c:pt>
                <c:pt idx="76">
                  <c:v>-8476156.2950267829</c:v>
                </c:pt>
                <c:pt idx="77">
                  <c:v>-8493241.9317191225</c:v>
                </c:pt>
                <c:pt idx="78">
                  <c:v>-8508463.6807821188</c:v>
                </c:pt>
                <c:pt idx="79">
                  <c:v>-8521912.670184616</c:v>
                </c:pt>
                <c:pt idx="80">
                  <c:v>-8533675.6158046219</c:v>
                </c:pt>
                <c:pt idx="81">
                  <c:v>-8543835.0496362224</c:v>
                </c:pt>
                <c:pt idx="82">
                  <c:v>-8552469.5352173299</c:v>
                </c:pt>
                <c:pt idx="83">
                  <c:v>-8559653.8710529469</c:v>
                </c:pt>
                <c:pt idx="84">
                  <c:v>-8565459.282757923</c:v>
                </c:pt>
                <c:pt idx="85">
                  <c:v>-8569953.6045961529</c:v>
                </c:pt>
                <c:pt idx="86">
                  <c:v>-8573201.451049285</c:v>
                </c:pt>
                <c:pt idx="87">
                  <c:v>-8575264.379007332</c:v>
                </c:pt>
                <c:pt idx="88">
                  <c:v>-8576201.0411355812</c:v>
                </c:pt>
                <c:pt idx="89">
                  <c:v>-8576067.3309369124</c:v>
                </c:pt>
                <c:pt idx="90">
                  <c:v>-8574916.5199956484</c:v>
                </c:pt>
                <c:pt idx="91">
                  <c:v>-8572799.3878584802</c:v>
                </c:pt>
                <c:pt idx="92">
                  <c:v>-8569764.344979303</c:v>
                </c:pt>
                <c:pt idx="93">
                  <c:v>-8565857.5491282605</c:v>
                </c:pt>
                <c:pt idx="94">
                  <c:v>-8561123.0156402439</c:v>
                </c:pt>
                <c:pt idx="95">
                  <c:v>-8555602.7218550369</c:v>
                </c:pt>
                <c:pt idx="96">
                  <c:v>-8549336.7060795017</c:v>
                </c:pt>
                <c:pt idx="97">
                  <c:v>-8542363.1613819897</c:v>
                </c:pt>
                <c:pt idx="98">
                  <c:v>-8534718.5245102644</c:v>
                </c:pt>
                <c:pt idx="99">
                  <c:v>-8526437.5602065101</c:v>
                </c:pt>
                <c:pt idx="100">
                  <c:v>-8517553.4411764704</c:v>
                </c:pt>
              </c:numCache>
            </c:numRef>
          </c:val>
          <c:smooth val="0"/>
          <c:extLst>
            <c:ext xmlns:c16="http://schemas.microsoft.com/office/drawing/2014/chart" uri="{C3380CC4-5D6E-409C-BE32-E72D297353CC}">
              <c16:uniqueId val="{00000000-E667-49BF-965B-142B3AC75242}"/>
            </c:ext>
          </c:extLst>
        </c:ser>
        <c:dLbls>
          <c:showLegendKey val="0"/>
          <c:showVal val="0"/>
          <c:showCatName val="0"/>
          <c:showSerName val="0"/>
          <c:showPercent val="0"/>
          <c:showBubbleSize val="0"/>
        </c:dLbls>
        <c:smooth val="0"/>
        <c:axId val="1439539710"/>
        <c:axId val="758908108"/>
      </c:lineChart>
      <c:catAx>
        <c:axId val="143953971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758908108"/>
        <c:crosses val="autoZero"/>
        <c:auto val="1"/>
        <c:lblAlgn val="ctr"/>
        <c:lblOffset val="100"/>
        <c:noMultiLvlLbl val="1"/>
      </c:catAx>
      <c:valAx>
        <c:axId val="7589081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NPV</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3953971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Cash Flows vs.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ru-RU"/>
        </a:p>
      </c:txPr>
    </c:title>
    <c:autoTitleDeleted val="0"/>
    <c:plotArea>
      <c:layout/>
      <c:lineChart>
        <c:grouping val="standard"/>
        <c:varyColors val="0"/>
        <c:ser>
          <c:idx val="0"/>
          <c:order val="0"/>
          <c:tx>
            <c:strRef>
              <c:f>'Income Statement'!$A$96</c:f>
              <c:strCache>
                <c:ptCount val="1"/>
                <c:pt idx="0">
                  <c:v>Total Cash Flows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numRef>
              <c:f>'Income Statement'!$B$94:$G$94</c:f>
              <c:numCache>
                <c:formatCode>General</c:formatCode>
                <c:ptCount val="6"/>
                <c:pt idx="0">
                  <c:v>0</c:v>
                </c:pt>
                <c:pt idx="1">
                  <c:v>1</c:v>
                </c:pt>
                <c:pt idx="2">
                  <c:v>2</c:v>
                </c:pt>
                <c:pt idx="3">
                  <c:v>3</c:v>
                </c:pt>
                <c:pt idx="4">
                  <c:v>4</c:v>
                </c:pt>
                <c:pt idx="5">
                  <c:v>5</c:v>
                </c:pt>
              </c:numCache>
            </c:numRef>
          </c:cat>
          <c:val>
            <c:numRef>
              <c:f>'Income Statement'!$B$96:$G$96</c:f>
              <c:numCache>
                <c:formatCode>#,##0.00</c:formatCode>
                <c:ptCount val="6"/>
                <c:pt idx="0">
                  <c:v>-3000000</c:v>
                </c:pt>
                <c:pt idx="1">
                  <c:v>-12673360</c:v>
                </c:pt>
                <c:pt idx="2">
                  <c:v>-15927507.199999999</c:v>
                </c:pt>
                <c:pt idx="3">
                  <c:v>-13152265.600000001</c:v>
                </c:pt>
                <c:pt idx="4">
                  <c:v>-6752564.8000000007</c:v>
                </c:pt>
                <c:pt idx="5">
                  <c:v>8014654.3999999994</c:v>
                </c:pt>
              </c:numCache>
            </c:numRef>
          </c:val>
          <c:smooth val="0"/>
          <c:extLst>
            <c:ext xmlns:c16="http://schemas.microsoft.com/office/drawing/2014/chart" uri="{C3380CC4-5D6E-409C-BE32-E72D297353CC}">
              <c16:uniqueId val="{00000000-4590-484D-A2EF-9162112ABF13}"/>
            </c:ext>
          </c:extLst>
        </c:ser>
        <c:dLbls>
          <c:showLegendKey val="0"/>
          <c:showVal val="0"/>
          <c:showCatName val="0"/>
          <c:showSerName val="0"/>
          <c:showPercent val="0"/>
          <c:showBubbleSize val="0"/>
        </c:dLbls>
        <c:smooth val="0"/>
        <c:axId val="387369162"/>
        <c:axId val="387306029"/>
      </c:lineChart>
      <c:catAx>
        <c:axId val="38736916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Years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87306029"/>
        <c:crosses val="autoZero"/>
        <c:auto val="1"/>
        <c:lblAlgn val="ctr"/>
        <c:lblOffset val="100"/>
        <c:noMultiLvlLbl val="1"/>
      </c:catAx>
      <c:valAx>
        <c:axId val="38730602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8736916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0</xdr:colOff>
      <xdr:row>109</xdr:row>
      <xdr:rowOff>28575</xdr:rowOff>
    </xdr:from>
    <xdr:ext cx="5715000" cy="3533775"/>
    <xdr:graphicFrame macro="">
      <xdr:nvGraphicFramePr>
        <xdr:cNvPr id="2" name="Chart 1" title="Диаграмма">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876300</xdr:colOff>
      <xdr:row>109</xdr:row>
      <xdr:rowOff>19050</xdr:rowOff>
    </xdr:from>
    <xdr:ext cx="5715000" cy="3533775"/>
    <xdr:graphicFrame macro="">
      <xdr:nvGraphicFramePr>
        <xdr:cNvPr id="3" name="Chart 2" title="Диаграмма">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22411</xdr:colOff>
      <xdr:row>131</xdr:row>
      <xdr:rowOff>142315</xdr:rowOff>
    </xdr:from>
    <xdr:ext cx="5715000" cy="3533775"/>
    <xdr:graphicFrame macro="">
      <xdr:nvGraphicFramePr>
        <xdr:cNvPr id="4" name="Chart 3" title="Диаграмма">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2</xdr:col>
      <xdr:colOff>885825</xdr:colOff>
      <xdr:row>131</xdr:row>
      <xdr:rowOff>28575</xdr:rowOff>
    </xdr:from>
    <xdr:ext cx="5715000" cy="3533775"/>
    <xdr:graphicFrame macro="">
      <xdr:nvGraphicFramePr>
        <xdr:cNvPr id="5" name="Chart 4" title="Диаграмма">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tatista.com/markets/423/topic/2519/subscriptions-direct-selling/" TargetMode="External"/><Relationship Id="rId13" Type="http://schemas.openxmlformats.org/officeDocument/2006/relationships/hyperlink" Target="https://pixelplus.ru/samostoyatelno/stati/aso/kak-zarabotat-na-prilozhenii-v-google-play.html" TargetMode="External"/><Relationship Id="rId18" Type="http://schemas.openxmlformats.org/officeDocument/2006/relationships/hyperlink" Target="https://tradingeconomics.com/kazakhstan/wages" TargetMode="External"/><Relationship Id="rId26" Type="http://schemas.openxmlformats.org/officeDocument/2006/relationships/hyperlink" Target="https://kz.bizorg.su/brending-r" TargetMode="External"/><Relationship Id="rId3" Type="http://schemas.openxmlformats.org/officeDocument/2006/relationships/hyperlink" Target="https://www.statista.com/statistics/1361778/number-of-retail-e-commerce-transactions-kazakhstan/" TargetMode="External"/><Relationship Id="rId21" Type="http://schemas.openxmlformats.org/officeDocument/2006/relationships/hyperlink" Target="https://tradingeconomics.com/kazakhstan/wages" TargetMode="External"/><Relationship Id="rId7" Type="http://schemas.openxmlformats.org/officeDocument/2006/relationships/hyperlink" Target="https://astanatimes.com/2018/10/kazakh-street-food-industry-has-ample-room-for-growth-says-entrepreneur/" TargetMode="External"/><Relationship Id="rId12" Type="http://schemas.openxmlformats.org/officeDocument/2006/relationships/hyperlink" Target="https://kalpak-travel.com/blog/central-asian-cuisine/" TargetMode="External"/><Relationship Id="rId17" Type="http://schemas.openxmlformats.org/officeDocument/2006/relationships/hyperlink" Target="https://www.glassdoor.co.uk/Salaries/almaty-marketing-analyst-salary-SRCH_IL.0,6_IC3589054_KO7,24.htm" TargetMode="External"/><Relationship Id="rId25" Type="http://schemas.openxmlformats.org/officeDocument/2006/relationships/hyperlink" Target="https://www.zakon.kz/finansy/6402287-sovety-dlya-biznesa-skolko-deneg-nuzhno-na-marketing-i-PR.html" TargetMode="External"/><Relationship Id="rId2" Type="http://schemas.openxmlformats.org/officeDocument/2006/relationships/hyperlink" Target="https://investim.guru/obzory/kakoy-protsent-komissii-beret-yandeks-eda-s-restoranov" TargetMode="External"/><Relationship Id="rId16" Type="http://schemas.openxmlformats.org/officeDocument/2006/relationships/hyperlink" Target="https://www.salaryexplorer.com/average-salary-wage-comparison-kazakhstan-user-experience-designer-c110j11933" TargetMode="External"/><Relationship Id="rId20" Type="http://schemas.openxmlformats.org/officeDocument/2006/relationships/hyperlink" Target="https://tradingeconomics.com/kazakhstan/wages" TargetMode="External"/><Relationship Id="rId29" Type="http://schemas.openxmlformats.org/officeDocument/2006/relationships/hyperlink" Target="https://www.zakon.kz/finansy/6402287-sovety-dlya-biznesa-skolko-deneg-nuzhno-na-marketing-i-PR.html" TargetMode="External"/><Relationship Id="rId1" Type="http://schemas.openxmlformats.org/officeDocument/2006/relationships/hyperlink" Target="https://qazmonitor.com/business/1434/russian-e-commerce-company-opens-logistics-center-in-kazakhstan" TargetMode="External"/><Relationship Id="rId6" Type="http://schemas.openxmlformats.org/officeDocument/2006/relationships/hyperlink" Target="https://shef.zendesk.com/hc/en-us/articles/4418866109335-Overview-of-Payments" TargetMode="External"/><Relationship Id="rId11" Type="http://schemas.openxmlformats.org/officeDocument/2006/relationships/hyperlink" Target="https://www.statista.com/outlook/dmo/online-food-delivery/asia" TargetMode="External"/><Relationship Id="rId24" Type="http://schemas.openxmlformats.org/officeDocument/2006/relationships/hyperlink" Target="https://aws.amazon.com/premiumsupport/pricing/" TargetMode="External"/><Relationship Id="rId5" Type="http://schemas.openxmlformats.org/officeDocument/2006/relationships/hyperlink" Target="https://plus.yandex.ru/action/watch-listen_60d_free" TargetMode="External"/><Relationship Id="rId15" Type="http://schemas.openxmlformats.org/officeDocument/2006/relationships/hyperlink" Target="https://worldsalaries.com/average-software-engineer-salary-in-kazakhstan/" TargetMode="External"/><Relationship Id="rId23" Type="http://schemas.openxmlformats.org/officeDocument/2006/relationships/hyperlink" Target="https://www.officefreedom.com/kazakhstan-serviced-offices" TargetMode="External"/><Relationship Id="rId28" Type="http://schemas.openxmlformats.org/officeDocument/2006/relationships/hyperlink" Target="https://www.eldorado.ru/c/kompyutery/tag/dlya-servera/?utm_source=google&amp;utm_medium=organic&amp;utm_campaign=google&amp;utm_referrer=google" TargetMode="External"/><Relationship Id="rId10" Type="http://schemas.openxmlformats.org/officeDocument/2006/relationships/hyperlink" Target="https://newormedia.com/blog/how-much-do-websites-make-from-ads/" TargetMode="External"/><Relationship Id="rId19" Type="http://schemas.openxmlformats.org/officeDocument/2006/relationships/hyperlink" Target="https://tradingeconomics.com/kazakhstan/wages" TargetMode="External"/><Relationship Id="rId31" Type="http://schemas.openxmlformats.org/officeDocument/2006/relationships/drawing" Target="../drawings/drawing1.xml"/><Relationship Id="rId4" Type="http://schemas.openxmlformats.org/officeDocument/2006/relationships/hyperlink" Target="https://www.statista.com/statistics/1361778/number-of-retail-e-commerce-transactions-kazakhstan/" TargetMode="External"/><Relationship Id="rId9" Type="http://schemas.openxmlformats.org/officeDocument/2006/relationships/hyperlink" Target="https://www.statista.com/markets/423/topic/2519/subscriptions-direct-selling/" TargetMode="External"/><Relationship Id="rId14" Type="http://schemas.openxmlformats.org/officeDocument/2006/relationships/hyperlink" Target="https://pixelplus.ru/samostoyatelno/stati/aso/kak-zarabotat-na-prilozhenii-v-google-play.html" TargetMode="External"/><Relationship Id="rId22" Type="http://schemas.openxmlformats.org/officeDocument/2006/relationships/hyperlink" Target="https://tradingeconomics.com/kazakhstan/wages" TargetMode="External"/><Relationship Id="rId27" Type="http://schemas.openxmlformats.org/officeDocument/2006/relationships/hyperlink" Target="https://www.itsasap.com/blog/data-analytics-cost" TargetMode="External"/><Relationship Id="rId30" Type="http://schemas.openxmlformats.org/officeDocument/2006/relationships/hyperlink" Target="https://stat.gov.kz/en/industries/economy/prices/publications/679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116"/>
  <sheetViews>
    <sheetView topLeftCell="A109" zoomScale="44" zoomScaleNormal="85" workbookViewId="0">
      <selection activeCell="H58" sqref="H58"/>
    </sheetView>
  </sheetViews>
  <sheetFormatPr defaultColWidth="12.54296875" defaultRowHeight="12.5"/>
  <cols>
    <col min="1" max="1" width="55.453125" bestFit="1" customWidth="1"/>
    <col min="2" max="3" width="17.453125" bestFit="1" customWidth="1"/>
    <col min="4" max="4" width="29.1796875" bestFit="1" customWidth="1"/>
    <col min="5" max="5" width="18.26953125" customWidth="1"/>
    <col min="6" max="6" width="17.453125" bestFit="1" customWidth="1"/>
    <col min="7" max="7" width="20" customWidth="1"/>
    <col min="8" max="8" width="62" bestFit="1" customWidth="1"/>
    <col min="9" max="9" width="7" bestFit="1" customWidth="1"/>
    <col min="10" max="10" width="13.54296875" bestFit="1" customWidth="1"/>
    <col min="11" max="11" width="20.453125" bestFit="1" customWidth="1"/>
    <col min="12" max="12" width="44.54296875" customWidth="1"/>
    <col min="13" max="13" width="1" bestFit="1" customWidth="1"/>
    <col min="14" max="14" width="19.81640625" customWidth="1"/>
    <col min="15" max="15" width="18.26953125" customWidth="1"/>
    <col min="20" max="20" width="32.26953125" bestFit="1" customWidth="1"/>
    <col min="21" max="21" width="2.81640625" bestFit="1" customWidth="1"/>
    <col min="22" max="22" width="17.26953125" bestFit="1" customWidth="1"/>
    <col min="23" max="24" width="16" bestFit="1" customWidth="1"/>
    <col min="25" max="25" width="14" bestFit="1" customWidth="1"/>
    <col min="26" max="26" width="15.1796875" bestFit="1" customWidth="1"/>
  </cols>
  <sheetData>
    <row r="1" spans="1:15" ht="16">
      <c r="A1" s="1" t="s">
        <v>0</v>
      </c>
      <c r="B1" s="2"/>
      <c r="C1" s="3"/>
      <c r="D1" s="2"/>
      <c r="E1" s="2"/>
      <c r="F1" s="2"/>
      <c r="G1" s="2"/>
      <c r="H1" s="2"/>
      <c r="I1" s="2"/>
      <c r="J1" s="88" t="s">
        <v>1</v>
      </c>
      <c r="K1" s="85"/>
      <c r="L1" s="86"/>
      <c r="M1" s="4"/>
      <c r="N1" s="5" t="s">
        <v>2</v>
      </c>
      <c r="O1" s="6" t="s">
        <v>3</v>
      </c>
    </row>
    <row r="2" spans="1:15" ht="31">
      <c r="A2" s="4"/>
      <c r="B2" s="2"/>
      <c r="C2" s="3"/>
      <c r="D2" s="2"/>
      <c r="E2" s="2"/>
      <c r="F2" s="2"/>
      <c r="G2" s="2"/>
      <c r="H2" s="2"/>
      <c r="I2" s="2"/>
      <c r="J2" s="7" t="s">
        <v>4</v>
      </c>
      <c r="K2" s="8" t="s">
        <v>5</v>
      </c>
      <c r="L2" s="9" t="s">
        <v>6</v>
      </c>
      <c r="M2" s="4"/>
      <c r="N2" s="10">
        <v>0</v>
      </c>
      <c r="O2" s="11">
        <f t="shared" ref="O2:O102" si="0">NPV(N2,$C$88:$G$88)+$B$88</f>
        <v>29866521.882352933</v>
      </c>
    </row>
    <row r="3" spans="1:15" ht="15.5">
      <c r="A3" s="89" t="s">
        <v>7</v>
      </c>
      <c r="B3" s="85"/>
      <c r="C3" s="85"/>
      <c r="D3" s="85"/>
      <c r="E3" s="85"/>
      <c r="F3" s="85"/>
      <c r="G3" s="86"/>
      <c r="H3" s="2"/>
      <c r="I3" s="2"/>
      <c r="J3" s="12" t="s">
        <v>8</v>
      </c>
      <c r="K3" s="13">
        <v>0.14599999999999999</v>
      </c>
      <c r="L3" s="78" t="s">
        <v>18</v>
      </c>
      <c r="M3" s="4"/>
      <c r="N3" s="10">
        <v>0.01</v>
      </c>
      <c r="O3" s="11">
        <f t="shared" si="0"/>
        <v>27586806.58189087</v>
      </c>
    </row>
    <row r="4" spans="1:15" ht="15.5">
      <c r="A4" s="15" t="s">
        <v>9</v>
      </c>
      <c r="B4" s="15" t="s">
        <v>10</v>
      </c>
      <c r="C4" s="15" t="s">
        <v>11</v>
      </c>
      <c r="D4" s="15" t="s">
        <v>12</v>
      </c>
      <c r="E4" s="15" t="s">
        <v>13</v>
      </c>
      <c r="F4" s="15" t="s">
        <v>14</v>
      </c>
      <c r="G4" s="16" t="s">
        <v>6</v>
      </c>
      <c r="H4" s="17"/>
      <c r="I4" s="18"/>
      <c r="J4" s="90" t="s">
        <v>15</v>
      </c>
      <c r="K4" s="85"/>
      <c r="L4" s="86"/>
      <c r="M4" s="4"/>
      <c r="N4" s="10">
        <v>0.02</v>
      </c>
      <c r="O4" s="11">
        <f t="shared" si="0"/>
        <v>25449502.136871982</v>
      </c>
    </row>
    <row r="5" spans="1:15" ht="31">
      <c r="A5" s="91" t="s">
        <v>16</v>
      </c>
      <c r="B5" s="85"/>
      <c r="C5" s="85"/>
      <c r="D5" s="85"/>
      <c r="E5" s="85"/>
      <c r="F5" s="86"/>
      <c r="G5" s="16"/>
      <c r="H5" s="17"/>
      <c r="I5" s="18"/>
      <c r="J5" s="19" t="s">
        <v>17</v>
      </c>
      <c r="K5" s="20">
        <v>80</v>
      </c>
      <c r="L5" s="21" t="s">
        <v>18</v>
      </c>
      <c r="M5" s="22"/>
      <c r="N5" s="10">
        <v>0.03</v>
      </c>
      <c r="O5" s="11">
        <f t="shared" si="0"/>
        <v>23444801.578598473</v>
      </c>
    </row>
    <row r="6" spans="1:15" ht="31">
      <c r="A6" s="23" t="s">
        <v>19</v>
      </c>
      <c r="B6" s="15">
        <v>120</v>
      </c>
      <c r="C6" s="15">
        <f t="shared" ref="C6:F6" si="1">ROUND(B6*(1+$K$3),0)</f>
        <v>138</v>
      </c>
      <c r="D6" s="15">
        <f t="shared" si="1"/>
        <v>158</v>
      </c>
      <c r="E6" s="15">
        <f t="shared" si="1"/>
        <v>181</v>
      </c>
      <c r="F6" s="15">
        <f t="shared" si="1"/>
        <v>207</v>
      </c>
      <c r="G6" s="24" t="s">
        <v>20</v>
      </c>
      <c r="H6" s="25"/>
      <c r="I6" s="25"/>
      <c r="J6" s="19" t="s">
        <v>21</v>
      </c>
      <c r="K6" s="12">
        <f>K5*30*12</f>
        <v>28800</v>
      </c>
      <c r="L6" s="14" t="s">
        <v>18</v>
      </c>
      <c r="M6" s="22"/>
      <c r="N6" s="10">
        <v>0.04</v>
      </c>
      <c r="O6" s="11">
        <f t="shared" si="0"/>
        <v>21563650.544882409</v>
      </c>
    </row>
    <row r="7" spans="1:15" ht="31">
      <c r="A7" s="23" t="s">
        <v>22</v>
      </c>
      <c r="B7" s="15">
        <f>K6</f>
        <v>28800</v>
      </c>
      <c r="C7" s="15">
        <f t="shared" ref="C7:F7" si="2">B7*1.5</f>
        <v>43200</v>
      </c>
      <c r="D7" s="15">
        <f t="shared" si="2"/>
        <v>64800</v>
      </c>
      <c r="E7" s="15">
        <f t="shared" si="2"/>
        <v>97200</v>
      </c>
      <c r="F7" s="15">
        <f t="shared" si="2"/>
        <v>145800</v>
      </c>
      <c r="G7" s="26" t="s">
        <v>23</v>
      </c>
      <c r="H7" s="17"/>
      <c r="I7" s="18"/>
      <c r="J7" s="19" t="s">
        <v>24</v>
      </c>
      <c r="K7" s="12">
        <v>1.5</v>
      </c>
      <c r="L7" s="14" t="s">
        <v>18</v>
      </c>
      <c r="M7" s="22"/>
      <c r="N7" s="10">
        <v>0.05</v>
      </c>
      <c r="O7" s="11">
        <f t="shared" si="0"/>
        <v>19797683.356373742</v>
      </c>
    </row>
    <row r="8" spans="1:15" ht="15.5">
      <c r="A8" s="92" t="s">
        <v>25</v>
      </c>
      <c r="B8" s="85"/>
      <c r="C8" s="85"/>
      <c r="D8" s="85"/>
      <c r="E8" s="85"/>
      <c r="F8" s="86"/>
      <c r="G8" s="16"/>
      <c r="H8" s="17"/>
      <c r="I8" s="18"/>
      <c r="J8" s="90" t="s">
        <v>26</v>
      </c>
      <c r="K8" s="85"/>
      <c r="L8" s="86"/>
      <c r="M8" s="22"/>
      <c r="N8" s="10">
        <v>0.06</v>
      </c>
      <c r="O8" s="11">
        <f t="shared" si="0"/>
        <v>18139165.048321761</v>
      </c>
    </row>
    <row r="9" spans="1:15" ht="31">
      <c r="A9" s="23" t="s">
        <v>27</v>
      </c>
      <c r="B9" s="15">
        <v>1300</v>
      </c>
      <c r="C9" s="15">
        <f t="shared" ref="C9:F9" si="3">ROUND(B9*(1+$K$3),0)</f>
        <v>1490</v>
      </c>
      <c r="D9" s="15">
        <f t="shared" si="3"/>
        <v>1708</v>
      </c>
      <c r="E9" s="15">
        <f t="shared" si="3"/>
        <v>1957</v>
      </c>
      <c r="F9" s="15">
        <f t="shared" si="3"/>
        <v>2243</v>
      </c>
      <c r="G9" s="27" t="s">
        <v>20</v>
      </c>
      <c r="H9" s="17"/>
      <c r="I9" s="17"/>
      <c r="J9" s="12" t="s">
        <v>28</v>
      </c>
      <c r="K9" s="28">
        <v>5</v>
      </c>
      <c r="L9" s="14" t="s">
        <v>18</v>
      </c>
      <c r="M9" s="22"/>
      <c r="N9" s="10">
        <v>7.0000000000000007E-2</v>
      </c>
      <c r="O9" s="11">
        <f t="shared" si="0"/>
        <v>16580938.754296828</v>
      </c>
    </row>
    <row r="10" spans="1:15" ht="31">
      <c r="A10" s="23" t="s">
        <v>29</v>
      </c>
      <c r="B10" s="15">
        <f>ROUND(K11,0)</f>
        <v>1800</v>
      </c>
      <c r="C10" s="15">
        <f t="shared" ref="C10:F10" si="4">ROUND(B10*1.2,0)</f>
        <v>2160</v>
      </c>
      <c r="D10" s="15">
        <f t="shared" si="4"/>
        <v>2592</v>
      </c>
      <c r="E10" s="15">
        <f t="shared" si="4"/>
        <v>3110</v>
      </c>
      <c r="F10" s="15">
        <f t="shared" si="4"/>
        <v>3732</v>
      </c>
      <c r="G10" s="26" t="s">
        <v>23</v>
      </c>
      <c r="H10" s="93"/>
      <c r="I10" s="83"/>
      <c r="J10" s="12" t="s">
        <v>30</v>
      </c>
      <c r="K10" s="28">
        <f>K9*30</f>
        <v>150</v>
      </c>
      <c r="L10" s="14" t="s">
        <v>18</v>
      </c>
      <c r="M10" s="22"/>
      <c r="N10" s="10">
        <v>0.08</v>
      </c>
      <c r="O10" s="11">
        <f t="shared" si="0"/>
        <v>15116377.904418282</v>
      </c>
    </row>
    <row r="11" spans="1:15" ht="31">
      <c r="A11" s="23" t="s">
        <v>31</v>
      </c>
      <c r="B11" s="15">
        <f>B9*9</f>
        <v>11700</v>
      </c>
      <c r="C11" s="15">
        <f t="shared" ref="C11:F11" si="5">ROUND(B11*(1+$K$3),0)</f>
        <v>13408</v>
      </c>
      <c r="D11" s="15">
        <f t="shared" si="5"/>
        <v>15366</v>
      </c>
      <c r="E11" s="15">
        <f t="shared" si="5"/>
        <v>17609</v>
      </c>
      <c r="F11" s="15">
        <f t="shared" si="5"/>
        <v>20180</v>
      </c>
      <c r="G11" s="26" t="s">
        <v>23</v>
      </c>
      <c r="H11" s="93"/>
      <c r="I11" s="83"/>
      <c r="J11" s="12" t="s">
        <v>32</v>
      </c>
      <c r="K11" s="28">
        <f>K10*12</f>
        <v>1800</v>
      </c>
      <c r="L11" s="14" t="s">
        <v>18</v>
      </c>
      <c r="M11" s="22"/>
      <c r="N11" s="10">
        <v>0.09</v>
      </c>
      <c r="O11" s="11">
        <f t="shared" si="0"/>
        <v>13739342.75890593</v>
      </c>
    </row>
    <row r="12" spans="1:15" ht="31">
      <c r="A12" s="23" t="s">
        <v>33</v>
      </c>
      <c r="B12" s="15">
        <f>K15</f>
        <v>36</v>
      </c>
      <c r="C12" s="15">
        <f t="shared" ref="C12:F12" si="6">ROUND(B12*1.2,0)</f>
        <v>43</v>
      </c>
      <c r="D12" s="15">
        <f t="shared" si="6"/>
        <v>52</v>
      </c>
      <c r="E12" s="15">
        <f t="shared" si="6"/>
        <v>62</v>
      </c>
      <c r="F12" s="15">
        <f t="shared" si="6"/>
        <v>74</v>
      </c>
      <c r="G12" s="26" t="s">
        <v>23</v>
      </c>
      <c r="H12" s="29"/>
      <c r="I12" s="18"/>
      <c r="J12" s="12" t="s">
        <v>24</v>
      </c>
      <c r="K12" s="28">
        <v>1.2</v>
      </c>
      <c r="L12" s="14" t="s">
        <v>18</v>
      </c>
      <c r="M12" s="22"/>
      <c r="N12" s="10">
        <v>0.1</v>
      </c>
      <c r="O12" s="11">
        <f t="shared" si="0"/>
        <v>12444140.849266948</v>
      </c>
    </row>
    <row r="13" spans="1:15" ht="15.5">
      <c r="A13" s="92" t="s">
        <v>34</v>
      </c>
      <c r="B13" s="85"/>
      <c r="C13" s="85"/>
      <c r="D13" s="85"/>
      <c r="E13" s="85"/>
      <c r="F13" s="85"/>
      <c r="G13" s="94"/>
      <c r="H13" s="17"/>
      <c r="I13" s="18"/>
      <c r="J13" s="90" t="s">
        <v>35</v>
      </c>
      <c r="K13" s="85"/>
      <c r="L13" s="86"/>
      <c r="M13" s="22"/>
      <c r="N13" s="10">
        <v>0.11</v>
      </c>
      <c r="O13" s="11">
        <f t="shared" si="0"/>
        <v>11225490.944987332</v>
      </c>
    </row>
    <row r="14" spans="1:15" ht="31">
      <c r="A14" s="23" t="s">
        <v>36</v>
      </c>
      <c r="B14" s="30">
        <f>K18</f>
        <v>7200000</v>
      </c>
      <c r="C14" s="30">
        <f>B14*1.3</f>
        <v>9360000</v>
      </c>
      <c r="D14" s="30">
        <f t="shared" ref="D14:F14" si="7">C14*1.2</f>
        <v>11232000</v>
      </c>
      <c r="E14" s="30">
        <f t="shared" si="7"/>
        <v>13478400</v>
      </c>
      <c r="F14" s="79">
        <f t="shared" si="7"/>
        <v>16174080</v>
      </c>
      <c r="G14" s="81" t="s">
        <v>18</v>
      </c>
      <c r="H14" s="17"/>
      <c r="I14" s="18"/>
      <c r="J14" s="12" t="s">
        <v>30</v>
      </c>
      <c r="K14" s="12">
        <v>3</v>
      </c>
      <c r="L14" s="14" t="s">
        <v>18</v>
      </c>
      <c r="M14" s="22"/>
      <c r="N14" s="10">
        <v>0.12</v>
      </c>
      <c r="O14" s="11">
        <f t="shared" si="0"/>
        <v>10078490.203948731</v>
      </c>
    </row>
    <row r="15" spans="1:15" ht="31">
      <c r="A15" s="31" t="s">
        <v>37</v>
      </c>
      <c r="B15" s="30">
        <f t="shared" ref="B15:F15" si="8">ROUND(B6*B7+B9*B10+B11*B12+B14,0)</f>
        <v>13417200</v>
      </c>
      <c r="C15" s="30">
        <f t="shared" si="8"/>
        <v>19116544</v>
      </c>
      <c r="D15" s="30">
        <f t="shared" si="8"/>
        <v>26696568</v>
      </c>
      <c r="E15" s="30">
        <f t="shared" si="8"/>
        <v>38249628</v>
      </c>
      <c r="F15" s="30">
        <f t="shared" si="8"/>
        <v>56218876</v>
      </c>
      <c r="G15" s="80"/>
      <c r="H15" s="17"/>
      <c r="I15" s="18"/>
      <c r="J15" s="12" t="s">
        <v>32</v>
      </c>
      <c r="K15" s="12">
        <f>K14*12</f>
        <v>36</v>
      </c>
      <c r="L15" s="14" t="s">
        <v>18</v>
      </c>
      <c r="M15" s="22" t="s">
        <v>38</v>
      </c>
      <c r="N15" s="10">
        <v>0.13</v>
      </c>
      <c r="O15" s="11">
        <f t="shared" si="0"/>
        <v>8998584.2005708776</v>
      </c>
    </row>
    <row r="16" spans="1:15" ht="15.5">
      <c r="A16" s="17"/>
      <c r="B16" s="17"/>
      <c r="C16" s="17"/>
      <c r="D16" s="17"/>
      <c r="E16" s="17"/>
      <c r="F16" s="17"/>
      <c r="G16" s="17"/>
      <c r="H16" s="17"/>
      <c r="I16" s="17"/>
      <c r="J16" s="95" t="s">
        <v>39</v>
      </c>
      <c r="K16" s="85"/>
      <c r="L16" s="86"/>
      <c r="M16" s="22"/>
      <c r="N16" s="10">
        <v>0.14000000000000001</v>
      </c>
      <c r="O16" s="11">
        <f t="shared" si="0"/>
        <v>7981539.5574405678</v>
      </c>
    </row>
    <row r="17" spans="1:15" ht="31">
      <c r="A17" s="17"/>
      <c r="B17" s="17"/>
      <c r="C17" s="17"/>
      <c r="D17" s="17"/>
      <c r="E17" s="17"/>
      <c r="F17" s="17"/>
      <c r="G17" s="17"/>
      <c r="H17" s="17"/>
      <c r="I17" s="17"/>
      <c r="J17" s="12" t="s">
        <v>40</v>
      </c>
      <c r="K17" s="12">
        <v>600000</v>
      </c>
      <c r="L17" s="14" t="s">
        <v>18</v>
      </c>
      <c r="M17" s="22"/>
      <c r="N17" s="10">
        <v>0.15</v>
      </c>
      <c r="O17" s="11">
        <f t="shared" si="0"/>
        <v>7023418.9344118908</v>
      </c>
    </row>
    <row r="18" spans="1:15" ht="15.5">
      <c r="A18" s="32"/>
      <c r="B18" s="32"/>
      <c r="C18" s="4"/>
      <c r="D18" s="4"/>
      <c r="E18" s="4"/>
      <c r="F18" s="4"/>
      <c r="G18" s="4"/>
      <c r="H18" s="4"/>
      <c r="I18" s="4"/>
      <c r="J18" s="33" t="s">
        <v>41</v>
      </c>
      <c r="K18" s="33">
        <f>K17*12</f>
        <v>7200000</v>
      </c>
      <c r="L18" s="34" t="s">
        <v>18</v>
      </c>
      <c r="M18" s="4"/>
      <c r="N18" s="10">
        <v>0.16</v>
      </c>
      <c r="O18" s="11">
        <f t="shared" si="0"/>
        <v>6120558.1542678531</v>
      </c>
    </row>
    <row r="19" spans="1:15" ht="31">
      <c r="A19" s="32"/>
      <c r="B19" s="32"/>
      <c r="C19" s="32"/>
      <c r="D19" s="32"/>
      <c r="E19" s="32"/>
      <c r="F19" s="32"/>
      <c r="G19" s="32"/>
      <c r="H19" s="32"/>
      <c r="I19" s="32"/>
      <c r="J19" s="12" t="s">
        <v>24</v>
      </c>
      <c r="K19" s="33">
        <v>1.3</v>
      </c>
      <c r="L19" s="33"/>
      <c r="M19" s="4"/>
      <c r="N19" s="10">
        <v>0.17</v>
      </c>
      <c r="O19" s="11">
        <f t="shared" si="0"/>
        <v>5269545.2663921714</v>
      </c>
    </row>
    <row r="20" spans="1:15" ht="15.5">
      <c r="A20" s="35" t="s">
        <v>42</v>
      </c>
      <c r="B20" s="32"/>
      <c r="C20" s="32"/>
      <c r="D20" s="36" t="s">
        <v>43</v>
      </c>
      <c r="E20" s="32"/>
      <c r="F20" s="32"/>
      <c r="G20" s="32"/>
      <c r="H20" s="32"/>
      <c r="I20" s="32"/>
      <c r="J20" s="96" t="s">
        <v>44</v>
      </c>
      <c r="K20" s="83"/>
      <c r="L20" s="83"/>
      <c r="M20" s="4"/>
      <c r="N20" s="10">
        <v>0.18</v>
      </c>
      <c r="O20" s="11">
        <f t="shared" si="0"/>
        <v>4467201.3698268402</v>
      </c>
    </row>
    <row r="21" spans="1:15" ht="15.5">
      <c r="A21" s="37" t="s">
        <v>45</v>
      </c>
      <c r="B21" s="38" t="s">
        <v>46</v>
      </c>
      <c r="C21" s="32"/>
      <c r="D21" s="37" t="s">
        <v>45</v>
      </c>
      <c r="E21" s="38" t="s">
        <v>10</v>
      </c>
      <c r="F21" s="38" t="s">
        <v>11</v>
      </c>
      <c r="G21" s="38" t="s">
        <v>12</v>
      </c>
      <c r="H21" s="38" t="s">
        <v>13</v>
      </c>
      <c r="I21" s="38" t="s">
        <v>14</v>
      </c>
      <c r="J21" s="4"/>
      <c r="K21" s="4"/>
      <c r="L21" s="4"/>
      <c r="M21" s="4"/>
      <c r="N21" s="10">
        <v>0.19</v>
      </c>
      <c r="O21" s="11">
        <f t="shared" si="0"/>
        <v>3710563.0348745519</v>
      </c>
    </row>
    <row r="22" spans="1:15" ht="15.5">
      <c r="A22" s="38" t="s">
        <v>47</v>
      </c>
      <c r="B22" s="39">
        <v>250000</v>
      </c>
      <c r="C22" s="40" t="s">
        <v>18</v>
      </c>
      <c r="D22" s="38" t="s">
        <v>47</v>
      </c>
      <c r="E22" s="41">
        <v>1</v>
      </c>
      <c r="F22" s="41">
        <v>1</v>
      </c>
      <c r="G22" s="41">
        <v>2</v>
      </c>
      <c r="H22" s="41">
        <v>3</v>
      </c>
      <c r="I22" s="41">
        <v>3</v>
      </c>
      <c r="J22" s="4"/>
      <c r="K22" s="4"/>
      <c r="L22" s="4"/>
      <c r="M22" s="4"/>
      <c r="N22" s="10">
        <v>0.2</v>
      </c>
      <c r="O22" s="11">
        <f t="shared" si="0"/>
        <v>2996866.1782861259</v>
      </c>
    </row>
    <row r="23" spans="1:15" ht="15.5">
      <c r="A23" s="38" t="s">
        <v>48</v>
      </c>
      <c r="B23" s="42">
        <v>100000</v>
      </c>
      <c r="C23" s="40" t="s">
        <v>18</v>
      </c>
      <c r="D23" s="38" t="s">
        <v>48</v>
      </c>
      <c r="E23" s="43">
        <v>1</v>
      </c>
      <c r="F23" s="43">
        <v>0</v>
      </c>
      <c r="G23" s="43">
        <v>0</v>
      </c>
      <c r="H23" s="43">
        <v>0</v>
      </c>
      <c r="I23" s="43">
        <v>0</v>
      </c>
      <c r="J23" s="4"/>
      <c r="K23" s="4"/>
      <c r="L23" s="4"/>
      <c r="M23" s="4"/>
      <c r="N23" s="10">
        <v>0.21</v>
      </c>
      <c r="O23" s="11">
        <f t="shared" si="0"/>
        <v>2323531.2612724788</v>
      </c>
    </row>
    <row r="24" spans="1:15" ht="15.5">
      <c r="A24" s="38" t="s">
        <v>49</v>
      </c>
      <c r="B24" s="39">
        <v>100000</v>
      </c>
      <c r="C24" s="40" t="s">
        <v>18</v>
      </c>
      <c r="D24" s="38" t="s">
        <v>49</v>
      </c>
      <c r="E24" s="41">
        <v>1</v>
      </c>
      <c r="F24" s="41">
        <v>1</v>
      </c>
      <c r="G24" s="41">
        <v>1</v>
      </c>
      <c r="H24" s="41">
        <v>1</v>
      </c>
      <c r="I24" s="41">
        <v>1</v>
      </c>
      <c r="J24" s="4"/>
      <c r="K24" s="4"/>
      <c r="L24" s="4"/>
      <c r="M24" s="4"/>
      <c r="N24" s="10">
        <v>0.22</v>
      </c>
      <c r="O24" s="11">
        <f t="shared" si="0"/>
        <v>1688149.6922862949</v>
      </c>
    </row>
    <row r="25" spans="1:15" ht="15.5">
      <c r="A25" s="38" t="s">
        <v>50</v>
      </c>
      <c r="B25" s="39">
        <v>300000</v>
      </c>
      <c r="C25" s="40" t="s">
        <v>18</v>
      </c>
      <c r="D25" s="38" t="s">
        <v>50</v>
      </c>
      <c r="E25" s="41">
        <v>1</v>
      </c>
      <c r="F25" s="41">
        <v>2</v>
      </c>
      <c r="G25" s="41">
        <v>2</v>
      </c>
      <c r="H25" s="41">
        <v>3</v>
      </c>
      <c r="I25" s="41">
        <v>4</v>
      </c>
      <c r="J25" s="4"/>
      <c r="K25" s="4"/>
      <c r="L25" s="4"/>
      <c r="M25" s="4"/>
      <c r="N25" s="10">
        <v>0.23</v>
      </c>
      <c r="O25" s="11">
        <f t="shared" si="0"/>
        <v>1088471.3278994663</v>
      </c>
    </row>
    <row r="26" spans="1:15" ht="15.5">
      <c r="A26" s="38" t="s">
        <v>51</v>
      </c>
      <c r="B26" s="39">
        <v>150000</v>
      </c>
      <c r="C26" s="40" t="s">
        <v>52</v>
      </c>
      <c r="D26" s="38" t="s">
        <v>51</v>
      </c>
      <c r="E26" s="41">
        <v>0</v>
      </c>
      <c r="F26" s="41">
        <v>1</v>
      </c>
      <c r="G26" s="41">
        <v>1</v>
      </c>
      <c r="H26" s="41">
        <v>1</v>
      </c>
      <c r="I26" s="41">
        <v>2</v>
      </c>
      <c r="J26" s="4"/>
      <c r="K26" s="4"/>
      <c r="L26" s="4"/>
      <c r="M26" s="4"/>
      <c r="N26" s="10">
        <v>0.24</v>
      </c>
      <c r="O26" s="11">
        <f t="shared" si="0"/>
        <v>522392.97530523129</v>
      </c>
    </row>
    <row r="27" spans="1:15" ht="15.5">
      <c r="A27" s="38" t="s">
        <v>53</v>
      </c>
      <c r="B27" s="39">
        <v>100000</v>
      </c>
      <c r="C27" s="40" t="s">
        <v>18</v>
      </c>
      <c r="D27" s="38" t="s">
        <v>53</v>
      </c>
      <c r="E27" s="41">
        <v>0</v>
      </c>
      <c r="F27" s="41">
        <v>0</v>
      </c>
      <c r="G27" s="41">
        <v>1</v>
      </c>
      <c r="H27" s="41">
        <v>1</v>
      </c>
      <c r="I27" s="41">
        <v>1</v>
      </c>
      <c r="J27" s="4"/>
      <c r="K27" s="4"/>
      <c r="L27" s="4"/>
      <c r="M27" s="4"/>
      <c r="N27" s="10">
        <v>0.25</v>
      </c>
      <c r="O27" s="11">
        <f t="shared" si="0"/>
        <v>-12052.190870589111</v>
      </c>
    </row>
    <row r="28" spans="1:15" ht="15.5">
      <c r="A28" s="38" t="s">
        <v>54</v>
      </c>
      <c r="B28" s="39">
        <v>250000</v>
      </c>
      <c r="C28" s="40" t="s">
        <v>18</v>
      </c>
      <c r="D28" s="38" t="s">
        <v>54</v>
      </c>
      <c r="E28" s="41">
        <v>1</v>
      </c>
      <c r="F28" s="41">
        <v>1</v>
      </c>
      <c r="G28" s="41">
        <v>2</v>
      </c>
      <c r="H28" s="41">
        <v>2</v>
      </c>
      <c r="I28" s="41">
        <v>3</v>
      </c>
      <c r="J28" s="4"/>
      <c r="K28" s="4"/>
      <c r="L28" s="4"/>
      <c r="M28" s="4"/>
      <c r="N28" s="10">
        <v>0.26</v>
      </c>
      <c r="O28" s="11">
        <f t="shared" si="0"/>
        <v>-516704.37654239964</v>
      </c>
    </row>
    <row r="29" spans="1:15" ht="15.5">
      <c r="A29" s="38" t="s">
        <v>55</v>
      </c>
      <c r="B29" s="39">
        <v>200000</v>
      </c>
      <c r="C29" s="40" t="s">
        <v>18</v>
      </c>
      <c r="D29" s="38" t="s">
        <v>55</v>
      </c>
      <c r="E29" s="41">
        <v>1</v>
      </c>
      <c r="F29" s="41">
        <v>1</v>
      </c>
      <c r="G29" s="41">
        <v>1</v>
      </c>
      <c r="H29" s="41">
        <v>1</v>
      </c>
      <c r="I29" s="41">
        <v>1</v>
      </c>
      <c r="J29" s="4"/>
      <c r="K29" s="4"/>
      <c r="L29" s="4"/>
      <c r="M29" s="4"/>
      <c r="N29" s="10">
        <v>0.27</v>
      </c>
      <c r="O29" s="11">
        <f t="shared" si="0"/>
        <v>-993286.15262318915</v>
      </c>
    </row>
    <row r="30" spans="1:15" ht="15.5">
      <c r="A30" s="44"/>
      <c r="B30" s="4"/>
      <c r="C30" s="4"/>
      <c r="D30" s="45"/>
      <c r="E30" s="4"/>
      <c r="F30" s="4"/>
      <c r="G30" s="4"/>
      <c r="H30" s="4"/>
      <c r="I30" s="4"/>
      <c r="J30" s="4"/>
      <c r="K30" s="4"/>
      <c r="L30" s="4"/>
      <c r="M30" s="4"/>
      <c r="N30" s="10">
        <v>0.28000000000000003</v>
      </c>
      <c r="O30" s="11">
        <f t="shared" si="0"/>
        <v>-1443410.7410206576</v>
      </c>
    </row>
    <row r="31" spans="1:15" ht="15.5">
      <c r="A31" s="1" t="s">
        <v>56</v>
      </c>
      <c r="B31" s="4"/>
      <c r="C31" s="4"/>
      <c r="D31" s="4"/>
      <c r="E31" s="4"/>
      <c r="F31" s="4"/>
      <c r="G31" s="4"/>
      <c r="H31" s="4"/>
      <c r="I31" s="4"/>
      <c r="J31" s="4"/>
      <c r="K31" s="4"/>
      <c r="L31" s="4"/>
      <c r="M31" s="4"/>
      <c r="N31" s="10">
        <v>0.28999999999999998</v>
      </c>
      <c r="O31" s="11">
        <f t="shared" si="0"/>
        <v>-1868589.661235264</v>
      </c>
    </row>
    <row r="32" spans="1:15" ht="15.5">
      <c r="A32" s="4"/>
      <c r="B32" s="4"/>
      <c r="C32" s="4"/>
      <c r="D32" s="4"/>
      <c r="E32" s="4"/>
      <c r="F32" s="4"/>
      <c r="G32" s="4"/>
      <c r="H32" s="4"/>
      <c r="I32" s="4"/>
      <c r="J32" s="4"/>
      <c r="K32" s="4"/>
      <c r="L32" s="4"/>
      <c r="M32" s="4"/>
      <c r="N32" s="10">
        <v>0.3</v>
      </c>
      <c r="O32" s="11">
        <f t="shared" si="0"/>
        <v>-2270239.7912287796</v>
      </c>
    </row>
    <row r="33" spans="1:26" ht="15.5">
      <c r="A33" s="37" t="s">
        <v>57</v>
      </c>
      <c r="B33" s="38" t="s">
        <v>10</v>
      </c>
      <c r="C33" s="38" t="s">
        <v>11</v>
      </c>
      <c r="D33" s="38" t="s">
        <v>12</v>
      </c>
      <c r="E33" s="38" t="s">
        <v>13</v>
      </c>
      <c r="F33" s="38" t="s">
        <v>14</v>
      </c>
      <c r="G33" s="4"/>
      <c r="H33" s="4"/>
      <c r="I33" s="4"/>
      <c r="J33" s="4"/>
      <c r="K33" s="4"/>
      <c r="L33" s="4"/>
      <c r="M33" s="4"/>
      <c r="N33" s="10">
        <v>0.31</v>
      </c>
      <c r="O33" s="11">
        <f t="shared" si="0"/>
        <v>-2649689.8913650909</v>
      </c>
    </row>
    <row r="34" spans="1:26" ht="15.5">
      <c r="A34" s="38" t="s">
        <v>47</v>
      </c>
      <c r="B34" s="43">
        <f t="shared" ref="B34:B41" si="9">-B22*E22*12</f>
        <v>-3000000</v>
      </c>
      <c r="C34" s="43">
        <f t="shared" ref="C34:C41" si="10">-B22*F22*12</f>
        <v>-3000000</v>
      </c>
      <c r="D34" s="43">
        <f t="shared" ref="D34:D41" si="11">-B22*G22*12</f>
        <v>-6000000</v>
      </c>
      <c r="E34" s="43">
        <f t="shared" ref="E34:E41" si="12">-B22*H22*12</f>
        <v>-9000000</v>
      </c>
      <c r="F34" s="43">
        <f t="shared" ref="F34:F41" si="13">-B22*I22*12</f>
        <v>-9000000</v>
      </c>
      <c r="G34" s="4"/>
      <c r="H34" s="4"/>
      <c r="I34" s="4"/>
      <c r="J34" s="4"/>
      <c r="K34" s="4"/>
      <c r="L34" s="4"/>
      <c r="M34" s="4"/>
      <c r="N34" s="10">
        <v>0.32</v>
      </c>
      <c r="O34" s="11">
        <f t="shared" si="0"/>
        <v>-3008186.6358323558</v>
      </c>
    </row>
    <row r="35" spans="1:26" ht="15.5">
      <c r="A35" s="38" t="s">
        <v>48</v>
      </c>
      <c r="B35" s="43">
        <f t="shared" si="9"/>
        <v>-1200000</v>
      </c>
      <c r="C35" s="43">
        <f t="shared" si="10"/>
        <v>0</v>
      </c>
      <c r="D35" s="43">
        <f t="shared" si="11"/>
        <v>0</v>
      </c>
      <c r="E35" s="43">
        <f t="shared" si="12"/>
        <v>0</v>
      </c>
      <c r="F35" s="43">
        <f t="shared" si="13"/>
        <v>0</v>
      </c>
      <c r="G35" s="4"/>
      <c r="H35" s="4"/>
      <c r="I35" s="4"/>
      <c r="J35" s="4"/>
      <c r="K35" s="4"/>
      <c r="L35" s="4"/>
      <c r="M35" s="4"/>
      <c r="N35" s="10">
        <v>0.33</v>
      </c>
      <c r="O35" s="11">
        <f t="shared" si="0"/>
        <v>-3346900.1919874121</v>
      </c>
    </row>
    <row r="36" spans="1:26" ht="15.5">
      <c r="A36" s="38" t="s">
        <v>49</v>
      </c>
      <c r="B36" s="43">
        <f t="shared" si="9"/>
        <v>-1200000</v>
      </c>
      <c r="C36" s="43">
        <f t="shared" si="10"/>
        <v>-1200000</v>
      </c>
      <c r="D36" s="43">
        <f t="shared" si="11"/>
        <v>-1200000</v>
      </c>
      <c r="E36" s="43">
        <f t="shared" si="12"/>
        <v>-1200000</v>
      </c>
      <c r="F36" s="43">
        <f t="shared" si="13"/>
        <v>-1200000</v>
      </c>
      <c r="G36" s="4"/>
      <c r="H36" s="4"/>
      <c r="I36" s="4"/>
      <c r="J36" s="4"/>
      <c r="K36" s="4"/>
      <c r="L36" s="4"/>
      <c r="M36" s="4"/>
      <c r="N36" s="10">
        <v>0.34</v>
      </c>
      <c r="O36" s="11">
        <f t="shared" si="0"/>
        <v>-3666929.3844757127</v>
      </c>
    </row>
    <row r="37" spans="1:26" ht="15.5">
      <c r="A37" s="38" t="s">
        <v>50</v>
      </c>
      <c r="B37" s="43">
        <f t="shared" si="9"/>
        <v>-3600000</v>
      </c>
      <c r="C37" s="43">
        <f t="shared" si="10"/>
        <v>-7200000</v>
      </c>
      <c r="D37" s="43">
        <f t="shared" si="11"/>
        <v>-7200000</v>
      </c>
      <c r="E37" s="43">
        <f t="shared" si="12"/>
        <v>-10800000</v>
      </c>
      <c r="F37" s="43">
        <f t="shared" si="13"/>
        <v>-14400000</v>
      </c>
      <c r="G37" s="4"/>
      <c r="H37" s="4"/>
      <c r="I37" s="4"/>
      <c r="J37" s="4"/>
      <c r="K37" s="4"/>
      <c r="L37" s="4"/>
      <c r="M37" s="4"/>
      <c r="N37" s="10">
        <v>0.35</v>
      </c>
      <c r="O37" s="11">
        <f t="shared" si="0"/>
        <v>-3969306.4777345513</v>
      </c>
    </row>
    <row r="38" spans="1:26" ht="15.5">
      <c r="A38" s="38" t="s">
        <v>51</v>
      </c>
      <c r="B38" s="43">
        <f t="shared" si="9"/>
        <v>0</v>
      </c>
      <c r="C38" s="43">
        <f t="shared" si="10"/>
        <v>-1800000</v>
      </c>
      <c r="D38" s="43">
        <f t="shared" si="11"/>
        <v>-1800000</v>
      </c>
      <c r="E38" s="43">
        <f t="shared" si="12"/>
        <v>-1800000</v>
      </c>
      <c r="F38" s="43">
        <f t="shared" si="13"/>
        <v>-3600000</v>
      </c>
      <c r="G38" s="4"/>
      <c r="H38" s="4"/>
      <c r="I38" s="4"/>
      <c r="J38" s="4"/>
      <c r="K38" s="4"/>
      <c r="L38" s="4"/>
      <c r="M38" s="4"/>
      <c r="N38" s="10">
        <v>0.36</v>
      </c>
      <c r="O38" s="11">
        <f t="shared" si="0"/>
        <v>-4255001.6075484836</v>
      </c>
    </row>
    <row r="39" spans="1:26" ht="15.5">
      <c r="A39" s="38" t="s">
        <v>53</v>
      </c>
      <c r="B39" s="43">
        <f t="shared" si="9"/>
        <v>0</v>
      </c>
      <c r="C39" s="43">
        <f t="shared" si="10"/>
        <v>0</v>
      </c>
      <c r="D39" s="43">
        <f t="shared" si="11"/>
        <v>-1200000</v>
      </c>
      <c r="E39" s="43">
        <f t="shared" si="12"/>
        <v>-1200000</v>
      </c>
      <c r="F39" s="43">
        <f t="shared" si="13"/>
        <v>-1200000</v>
      </c>
      <c r="G39" s="4"/>
      <c r="H39" s="4"/>
      <c r="I39" s="4"/>
      <c r="J39" s="4"/>
      <c r="K39" s="4"/>
      <c r="L39" s="4"/>
      <c r="M39" s="4"/>
      <c r="N39" s="10">
        <v>0.37</v>
      </c>
      <c r="O39" s="11">
        <f t="shared" si="0"/>
        <v>-4524926.8896629391</v>
      </c>
    </row>
    <row r="40" spans="1:26" ht="15.5">
      <c r="A40" s="38" t="s">
        <v>54</v>
      </c>
      <c r="B40" s="43">
        <f t="shared" si="9"/>
        <v>-3000000</v>
      </c>
      <c r="C40" s="43">
        <f t="shared" si="10"/>
        <v>-3000000</v>
      </c>
      <c r="D40" s="43">
        <f t="shared" si="11"/>
        <v>-6000000</v>
      </c>
      <c r="E40" s="43">
        <f t="shared" si="12"/>
        <v>-6000000</v>
      </c>
      <c r="F40" s="43">
        <f t="shared" si="13"/>
        <v>-9000000</v>
      </c>
      <c r="G40" s="4"/>
      <c r="H40" s="4"/>
      <c r="I40" s="4"/>
      <c r="J40" s="4"/>
      <c r="K40" s="4"/>
      <c r="L40" s="4"/>
      <c r="M40" s="4"/>
      <c r="N40" s="10">
        <v>0.38</v>
      </c>
      <c r="O40" s="11">
        <f t="shared" si="0"/>
        <v>-4779940.2310475707</v>
      </c>
    </row>
    <row r="41" spans="1:26" ht="15.5">
      <c r="A41" s="38" t="s">
        <v>55</v>
      </c>
      <c r="B41" s="43">
        <f t="shared" si="9"/>
        <v>-2400000</v>
      </c>
      <c r="C41" s="43">
        <f t="shared" si="10"/>
        <v>-2400000</v>
      </c>
      <c r="D41" s="43">
        <f t="shared" si="11"/>
        <v>-2400000</v>
      </c>
      <c r="E41" s="43">
        <f t="shared" si="12"/>
        <v>-2400000</v>
      </c>
      <c r="F41" s="43">
        <f t="shared" si="13"/>
        <v>-2400000</v>
      </c>
      <c r="G41" s="4"/>
      <c r="H41" s="4"/>
      <c r="I41" s="4"/>
      <c r="J41" s="4"/>
      <c r="K41" s="4"/>
      <c r="L41" s="4"/>
      <c r="M41" s="4"/>
      <c r="N41" s="10">
        <v>0.39</v>
      </c>
      <c r="O41" s="11">
        <f t="shared" si="0"/>
        <v>-5020848.8672100976</v>
      </c>
    </row>
    <row r="42" spans="1:26" ht="15.5">
      <c r="A42" s="37" t="s">
        <v>58</v>
      </c>
      <c r="B42" s="33">
        <f t="shared" ref="B42:F42" si="14">SUM(B34:B41)</f>
        <v>-14400000</v>
      </c>
      <c r="C42" s="33">
        <f t="shared" si="14"/>
        <v>-18600000</v>
      </c>
      <c r="D42" s="33">
        <f t="shared" si="14"/>
        <v>-25800000</v>
      </c>
      <c r="E42" s="33">
        <f t="shared" si="14"/>
        <v>-32400000</v>
      </c>
      <c r="F42" s="33">
        <f t="shared" si="14"/>
        <v>-40800000</v>
      </c>
      <c r="G42" s="4"/>
      <c r="H42" s="4"/>
      <c r="I42" s="4"/>
      <c r="J42" s="4"/>
      <c r="K42" s="4"/>
      <c r="L42" s="4"/>
      <c r="M42" s="4"/>
      <c r="N42" s="10">
        <v>0.4</v>
      </c>
      <c r="O42" s="11">
        <f t="shared" si="0"/>
        <v>-5248412.6469713245</v>
      </c>
    </row>
    <row r="43" spans="1:26" ht="15.5">
      <c r="A43" s="32"/>
      <c r="B43" s="32"/>
      <c r="C43" s="32"/>
      <c r="D43" s="32"/>
      <c r="E43" s="32"/>
      <c r="F43" s="32"/>
      <c r="G43" s="4"/>
      <c r="H43" s="4"/>
      <c r="I43" s="4"/>
      <c r="J43" s="4"/>
      <c r="K43" s="4"/>
      <c r="L43" s="4"/>
      <c r="M43" s="4"/>
      <c r="N43" s="10">
        <v>0.41</v>
      </c>
      <c r="O43" s="11">
        <f t="shared" si="0"/>
        <v>-5463347.084304858</v>
      </c>
    </row>
    <row r="44" spans="1:26" ht="15.5">
      <c r="A44" s="37" t="s">
        <v>59</v>
      </c>
      <c r="B44" s="38" t="s">
        <v>10</v>
      </c>
      <c r="C44" s="38" t="s">
        <v>11</v>
      </c>
      <c r="D44" s="38" t="s">
        <v>12</v>
      </c>
      <c r="E44" s="38" t="s">
        <v>13</v>
      </c>
      <c r="F44" s="38" t="s">
        <v>14</v>
      </c>
      <c r="G44" s="4"/>
      <c r="H44" s="4"/>
      <c r="I44" s="4"/>
      <c r="J44" s="4"/>
      <c r="K44" s="4"/>
      <c r="L44" s="4"/>
      <c r="M44" s="4"/>
      <c r="N44" s="10">
        <v>0.42</v>
      </c>
      <c r="O44" s="11">
        <f t="shared" si="0"/>
        <v>-5666326.1952003967</v>
      </c>
    </row>
    <row r="45" spans="1:26" ht="15.5">
      <c r="A45" s="38" t="s">
        <v>60</v>
      </c>
      <c r="B45" s="39">
        <v>-3000000</v>
      </c>
      <c r="C45" s="39">
        <v>-3000000</v>
      </c>
      <c r="D45" s="39">
        <v>-3000000</v>
      </c>
      <c r="E45" s="39">
        <v>-3000000</v>
      </c>
      <c r="F45" s="39">
        <v>-3000000</v>
      </c>
      <c r="G45" s="46" t="s">
        <v>18</v>
      </c>
      <c r="H45" s="47"/>
      <c r="I45" s="47"/>
      <c r="J45" s="47"/>
      <c r="K45" s="47"/>
      <c r="L45" s="47"/>
      <c r="M45" s="47"/>
      <c r="N45" s="10">
        <v>0.43</v>
      </c>
      <c r="O45" s="11">
        <f t="shared" si="0"/>
        <v>-5857985.1360141151</v>
      </c>
      <c r="P45" s="48"/>
      <c r="Q45" s="48"/>
      <c r="R45" s="48"/>
      <c r="S45" s="48"/>
      <c r="T45" s="48"/>
      <c r="U45" s="48"/>
      <c r="V45" s="48"/>
      <c r="W45" s="48"/>
      <c r="X45" s="48"/>
      <c r="Y45" s="48"/>
      <c r="Z45" s="48"/>
    </row>
    <row r="46" spans="1:26" ht="15.5">
      <c r="A46" s="38" t="s">
        <v>61</v>
      </c>
      <c r="B46" s="39">
        <f t="shared" ref="B46:F46" si="15">B42</f>
        <v>-14400000</v>
      </c>
      <c r="C46" s="39">
        <f t="shared" si="15"/>
        <v>-18600000</v>
      </c>
      <c r="D46" s="39">
        <f t="shared" si="15"/>
        <v>-25800000</v>
      </c>
      <c r="E46" s="39">
        <f t="shared" si="15"/>
        <v>-32400000</v>
      </c>
      <c r="F46" s="39">
        <f t="shared" si="15"/>
        <v>-40800000</v>
      </c>
      <c r="G46" s="4"/>
      <c r="H46" s="4"/>
      <c r="I46" s="4"/>
      <c r="J46" s="4"/>
      <c r="K46" s="4"/>
      <c r="L46" s="4"/>
      <c r="M46" s="4"/>
      <c r="N46" s="10">
        <v>0.44</v>
      </c>
      <c r="O46" s="11">
        <f t="shared" si="0"/>
        <v>-6038922.6584073566</v>
      </c>
    </row>
    <row r="47" spans="1:26" ht="15.5">
      <c r="A47" s="38" t="s">
        <v>62</v>
      </c>
      <c r="B47" s="42">
        <v>-120000</v>
      </c>
      <c r="C47" s="42">
        <v>-120000</v>
      </c>
      <c r="D47" s="42">
        <v>-120000</v>
      </c>
      <c r="E47" s="42">
        <v>-120000</v>
      </c>
      <c r="F47" s="42">
        <v>-120000</v>
      </c>
      <c r="G47" s="49" t="s">
        <v>18</v>
      </c>
      <c r="H47" s="4"/>
      <c r="I47" s="4"/>
      <c r="J47" s="4"/>
      <c r="K47" s="4"/>
      <c r="L47" s="4"/>
      <c r="M47" s="4"/>
      <c r="N47" s="10">
        <v>0.45</v>
      </c>
      <c r="O47" s="11">
        <f t="shared" si="0"/>
        <v>-6209703.3947337922</v>
      </c>
    </row>
    <row r="48" spans="1:26" ht="15.5">
      <c r="A48" s="38" t="s">
        <v>63</v>
      </c>
      <c r="B48" s="39">
        <v>-3000000</v>
      </c>
      <c r="C48" s="39">
        <v>-1500000</v>
      </c>
      <c r="D48" s="39">
        <v>-1500000</v>
      </c>
      <c r="E48" s="39">
        <v>-1500000</v>
      </c>
      <c r="F48" s="39">
        <v>-1500000</v>
      </c>
      <c r="G48" s="50" t="s">
        <v>18</v>
      </c>
      <c r="H48" s="4"/>
      <c r="I48" s="4"/>
      <c r="J48" s="4"/>
      <c r="K48" s="4"/>
      <c r="L48" s="4"/>
      <c r="M48" s="4"/>
      <c r="N48" s="10">
        <v>0.46</v>
      </c>
      <c r="O48" s="11">
        <f t="shared" si="0"/>
        <v>-6370859.9866038049</v>
      </c>
    </row>
    <row r="49" spans="1:15" ht="15.5">
      <c r="A49" s="38" t="s">
        <v>64</v>
      </c>
      <c r="B49" s="39">
        <v>-500000</v>
      </c>
      <c r="C49" s="39">
        <v>-500000</v>
      </c>
      <c r="D49" s="39">
        <v>-500000</v>
      </c>
      <c r="E49" s="39">
        <v>-500000</v>
      </c>
      <c r="F49" s="39">
        <v>-500000</v>
      </c>
      <c r="G49" s="46" t="s">
        <v>18</v>
      </c>
      <c r="H49" s="4"/>
      <c r="I49" s="4"/>
      <c r="J49" s="4"/>
      <c r="K49" s="4"/>
      <c r="L49" s="4"/>
      <c r="M49" s="4"/>
      <c r="N49" s="10">
        <v>0.47</v>
      </c>
      <c r="O49" s="11">
        <f t="shared" si="0"/>
        <v>-6522895.0683225291</v>
      </c>
    </row>
    <row r="50" spans="1:15" ht="15.5">
      <c r="A50" s="38" t="s">
        <v>65</v>
      </c>
      <c r="B50" s="39">
        <v>-400000</v>
      </c>
      <c r="C50" s="39">
        <v>-550000</v>
      </c>
      <c r="D50" s="39">
        <v>-550000</v>
      </c>
      <c r="E50" s="39">
        <v>-550000</v>
      </c>
      <c r="F50" s="39">
        <v>-550000</v>
      </c>
      <c r="G50" s="49" t="s">
        <v>18</v>
      </c>
      <c r="H50" s="4"/>
      <c r="I50" s="4"/>
      <c r="J50" s="4"/>
      <c r="K50" s="4"/>
      <c r="L50" s="4"/>
      <c r="M50" s="4"/>
      <c r="N50" s="10">
        <v>0.48</v>
      </c>
      <c r="O50" s="11">
        <f t="shared" si="0"/>
        <v>-6666283.1159555428</v>
      </c>
    </row>
    <row r="51" spans="1:15" ht="15.5">
      <c r="A51" s="37" t="s">
        <v>66</v>
      </c>
      <c r="B51" s="39">
        <f t="shared" ref="B51:F51" si="16">SUM(B45:B50)</f>
        <v>-21420000</v>
      </c>
      <c r="C51" s="39">
        <f t="shared" si="16"/>
        <v>-24270000</v>
      </c>
      <c r="D51" s="39">
        <f t="shared" si="16"/>
        <v>-31470000</v>
      </c>
      <c r="E51" s="39">
        <f t="shared" si="16"/>
        <v>-38070000</v>
      </c>
      <c r="F51" s="39">
        <f t="shared" si="16"/>
        <v>-46470000</v>
      </c>
      <c r="G51" s="4"/>
      <c r="H51" s="4"/>
      <c r="I51" s="4"/>
      <c r="J51" s="4"/>
      <c r="K51" s="4"/>
      <c r="L51" s="4"/>
      <c r="M51" s="4"/>
      <c r="N51" s="10">
        <v>0.49</v>
      </c>
      <c r="O51" s="11">
        <f t="shared" si="0"/>
        <v>-6801472.1719154501</v>
      </c>
    </row>
    <row r="52" spans="1:15" ht="15.5">
      <c r="A52" s="32"/>
      <c r="B52" s="32"/>
      <c r="C52" s="32"/>
      <c r="D52" s="32"/>
      <c r="E52" s="32"/>
      <c r="F52" s="32"/>
      <c r="G52" s="4"/>
      <c r="H52" s="4"/>
      <c r="I52" s="4"/>
      <c r="J52" s="4"/>
      <c r="K52" s="4"/>
      <c r="L52" s="4"/>
      <c r="M52" s="4"/>
      <c r="N52" s="10">
        <v>0.5</v>
      </c>
      <c r="O52" s="11">
        <f t="shared" si="0"/>
        <v>-6928885.4541757461</v>
      </c>
    </row>
    <row r="53" spans="1:15" ht="15.5">
      <c r="A53" s="32"/>
      <c r="B53" s="32"/>
      <c r="C53" s="32"/>
      <c r="D53" s="32"/>
      <c r="E53" s="32"/>
      <c r="F53" s="32"/>
      <c r="G53" s="4"/>
      <c r="H53" s="4"/>
      <c r="I53" s="4"/>
      <c r="J53" s="4"/>
      <c r="K53" s="4"/>
      <c r="L53" s="4"/>
      <c r="M53" s="4"/>
      <c r="N53" s="10">
        <v>0.51</v>
      </c>
      <c r="O53" s="11">
        <f t="shared" si="0"/>
        <v>-7048922.8584987037</v>
      </c>
    </row>
    <row r="54" spans="1:15" ht="15.5">
      <c r="A54" s="37" t="s">
        <v>67</v>
      </c>
      <c r="B54" s="38" t="s">
        <v>68</v>
      </c>
      <c r="C54" s="38" t="s">
        <v>10</v>
      </c>
      <c r="D54" s="38" t="s">
        <v>11</v>
      </c>
      <c r="E54" s="38" t="s">
        <v>12</v>
      </c>
      <c r="F54" s="38" t="s">
        <v>13</v>
      </c>
      <c r="G54" s="51" t="s">
        <v>14</v>
      </c>
      <c r="H54" s="4"/>
      <c r="I54" s="4"/>
      <c r="J54" s="4"/>
      <c r="K54" s="4"/>
      <c r="L54" s="4"/>
      <c r="M54" s="4"/>
      <c r="N54" s="10">
        <v>0.52</v>
      </c>
      <c r="O54" s="11">
        <f t="shared" si="0"/>
        <v>-7161962.3614055729</v>
      </c>
    </row>
    <row r="55" spans="1:15" ht="15.5">
      <c r="A55" s="38" t="s">
        <v>69</v>
      </c>
      <c r="B55" s="39">
        <v>-500000</v>
      </c>
      <c r="C55" s="39">
        <v>0</v>
      </c>
      <c r="D55" s="39">
        <v>0</v>
      </c>
      <c r="E55" s="39">
        <v>0</v>
      </c>
      <c r="F55" s="39">
        <v>0</v>
      </c>
      <c r="G55" s="39">
        <v>0</v>
      </c>
      <c r="H55" s="4"/>
      <c r="I55" s="4"/>
      <c r="J55" s="4"/>
      <c r="K55" s="4"/>
      <c r="L55" s="4"/>
      <c r="M55" s="4"/>
      <c r="N55" s="10">
        <v>0.53</v>
      </c>
      <c r="O55" s="11">
        <f t="shared" si="0"/>
        <v>-7268361.3310142793</v>
      </c>
    </row>
    <row r="56" spans="1:15" ht="15.5">
      <c r="A56" s="38" t="s">
        <v>70</v>
      </c>
      <c r="B56" s="39">
        <v>-2500000</v>
      </c>
      <c r="C56" s="39">
        <v>0</v>
      </c>
      <c r="D56" s="39">
        <v>0</v>
      </c>
      <c r="E56" s="39">
        <v>-500000</v>
      </c>
      <c r="F56" s="39">
        <v>0</v>
      </c>
      <c r="G56" s="39">
        <v>0</v>
      </c>
      <c r="H56" s="4"/>
      <c r="I56" s="4"/>
      <c r="J56" s="4"/>
      <c r="K56" s="4"/>
      <c r="L56" s="4"/>
      <c r="M56" s="4"/>
      <c r="N56" s="10">
        <v>0.54</v>
      </c>
      <c r="O56" s="11">
        <f t="shared" si="0"/>
        <v>-7368457.7523174528</v>
      </c>
    </row>
    <row r="57" spans="1:15" ht="15.5">
      <c r="A57" s="37" t="s">
        <v>71</v>
      </c>
      <c r="B57" s="39">
        <f t="shared" ref="B57:G57" si="17">SUM(B55:B56)</f>
        <v>-3000000</v>
      </c>
      <c r="C57" s="39">
        <f t="shared" si="17"/>
        <v>0</v>
      </c>
      <c r="D57" s="39">
        <f t="shared" si="17"/>
        <v>0</v>
      </c>
      <c r="E57" s="39">
        <f t="shared" si="17"/>
        <v>-500000</v>
      </c>
      <c r="F57" s="39">
        <f t="shared" si="17"/>
        <v>0</v>
      </c>
      <c r="G57" s="39">
        <f t="shared" si="17"/>
        <v>0</v>
      </c>
      <c r="H57" s="4"/>
      <c r="I57" s="4"/>
      <c r="J57" s="4"/>
      <c r="K57" s="4"/>
      <c r="L57" s="4"/>
      <c r="M57" s="4"/>
      <c r="N57" s="10">
        <v>0.55000000000000004</v>
      </c>
      <c r="O57" s="11">
        <f t="shared" si="0"/>
        <v>-7462571.3729670392</v>
      </c>
    </row>
    <row r="58" spans="1:15" ht="15.5">
      <c r="A58" s="37" t="s">
        <v>72</v>
      </c>
      <c r="B58" s="52">
        <f>B57</f>
        <v>-3000000</v>
      </c>
      <c r="C58" s="39">
        <f t="shared" ref="C58:G58" si="18">B51+C57</f>
        <v>-21420000</v>
      </c>
      <c r="D58" s="39">
        <f t="shared" si="18"/>
        <v>-24270000</v>
      </c>
      <c r="E58" s="39">
        <f t="shared" si="18"/>
        <v>-31970000</v>
      </c>
      <c r="F58" s="39">
        <f t="shared" si="18"/>
        <v>-38070000</v>
      </c>
      <c r="G58" s="39">
        <f t="shared" si="18"/>
        <v>-46470000</v>
      </c>
      <c r="H58" s="4"/>
      <c r="I58" s="4"/>
      <c r="J58" s="4"/>
      <c r="K58" s="4"/>
      <c r="L58" s="4"/>
      <c r="M58" s="4"/>
      <c r="N58" s="10">
        <v>0.56000000000000005</v>
      </c>
      <c r="O58" s="11">
        <f t="shared" si="0"/>
        <v>-7551004.7751673255</v>
      </c>
    </row>
    <row r="59" spans="1:15" ht="15.5">
      <c r="A59" s="4"/>
      <c r="B59" s="4"/>
      <c r="C59" s="4"/>
      <c r="D59" s="4"/>
      <c r="E59" s="4"/>
      <c r="F59" s="4"/>
      <c r="G59" s="4"/>
      <c r="H59" s="4"/>
      <c r="I59" s="4"/>
      <c r="J59" s="4"/>
      <c r="K59" s="4"/>
      <c r="L59" s="4"/>
      <c r="M59" s="4"/>
      <c r="N59" s="10">
        <v>0.56999999999999995</v>
      </c>
      <c r="O59" s="11">
        <f t="shared" si="0"/>
        <v>-7634044.3788518058</v>
      </c>
    </row>
    <row r="60" spans="1:15" ht="15.5">
      <c r="A60" s="4"/>
      <c r="B60" s="4"/>
      <c r="C60" s="4"/>
      <c r="D60" s="4"/>
      <c r="E60" s="4"/>
      <c r="F60" s="4"/>
      <c r="G60" s="4"/>
      <c r="H60" s="4"/>
      <c r="I60" s="4"/>
      <c r="J60" s="4"/>
      <c r="K60" s="4"/>
      <c r="L60" s="4"/>
      <c r="M60" s="4"/>
      <c r="N60" s="10">
        <v>0.57999999999999996</v>
      </c>
      <c r="O60" s="11">
        <f t="shared" si="0"/>
        <v>-7711961.3809277834</v>
      </c>
    </row>
    <row r="61" spans="1:15" ht="46.5">
      <c r="A61" s="53" t="s">
        <v>73</v>
      </c>
      <c r="B61" s="54" t="s">
        <v>74</v>
      </c>
      <c r="C61" s="54" t="s">
        <v>75</v>
      </c>
      <c r="D61" s="54" t="s">
        <v>76</v>
      </c>
      <c r="E61" s="55" t="s">
        <v>113</v>
      </c>
      <c r="F61" s="4"/>
      <c r="G61" s="4"/>
      <c r="H61" s="4"/>
      <c r="I61" s="4"/>
      <c r="J61" s="4"/>
      <c r="K61" s="4"/>
      <c r="L61" s="4"/>
      <c r="M61" s="4"/>
      <c r="N61" s="10">
        <v>0.59</v>
      </c>
      <c r="O61" s="11">
        <f t="shared" si="0"/>
        <v>-7785012.6350130523</v>
      </c>
    </row>
    <row r="62" spans="1:15" ht="15.5">
      <c r="A62" s="54" t="s">
        <v>77</v>
      </c>
      <c r="B62" s="56">
        <v>2500000</v>
      </c>
      <c r="C62" s="57">
        <v>750000</v>
      </c>
      <c r="D62" s="33">
        <v>5</v>
      </c>
      <c r="E62" s="19">
        <f>(B62-C62)/D62</f>
        <v>350000</v>
      </c>
      <c r="F62" s="50" t="s">
        <v>18</v>
      </c>
      <c r="G62" s="4"/>
      <c r="H62" s="4"/>
      <c r="I62" s="4"/>
      <c r="J62" s="4"/>
      <c r="K62" s="4"/>
      <c r="L62" s="4"/>
      <c r="M62" s="4"/>
      <c r="N62" s="10">
        <v>0.6</v>
      </c>
      <c r="O62" s="11">
        <f t="shared" si="0"/>
        <v>-7853441.4757582741</v>
      </c>
    </row>
    <row r="63" spans="1:15" ht="15.5">
      <c r="A63" s="4"/>
      <c r="B63" s="4"/>
      <c r="C63" s="4"/>
      <c r="D63" s="4"/>
      <c r="E63" s="4"/>
      <c r="F63" s="4"/>
      <c r="G63" s="4"/>
      <c r="H63" s="4"/>
      <c r="I63" s="4"/>
      <c r="J63" s="4"/>
      <c r="K63" s="4"/>
      <c r="L63" s="4"/>
      <c r="M63" s="4"/>
      <c r="N63" s="10">
        <v>0.61</v>
      </c>
      <c r="O63" s="11">
        <f t="shared" si="0"/>
        <v>-7917478.4915445112</v>
      </c>
    </row>
    <row r="64" spans="1:15" ht="15.5">
      <c r="A64" s="4"/>
      <c r="B64" s="4"/>
      <c r="C64" s="4"/>
      <c r="D64" s="4"/>
      <c r="E64" s="4"/>
      <c r="F64" s="4"/>
      <c r="G64" s="4"/>
      <c r="H64" s="4"/>
      <c r="I64" s="4"/>
      <c r="J64" s="4"/>
      <c r="K64" s="4"/>
      <c r="L64" s="4"/>
      <c r="M64" s="4"/>
      <c r="N64" s="10">
        <v>0.62</v>
      </c>
      <c r="O64" s="11">
        <f t="shared" si="0"/>
        <v>-7977342.2490657503</v>
      </c>
    </row>
    <row r="65" spans="1:15" ht="15.5">
      <c r="A65" s="84" t="s">
        <v>78</v>
      </c>
      <c r="B65" s="85"/>
      <c r="C65" s="85"/>
      <c r="D65" s="85"/>
      <c r="E65" s="85"/>
      <c r="F65" s="86"/>
      <c r="G65" s="4"/>
      <c r="H65" s="4"/>
      <c r="I65" s="4"/>
      <c r="J65" s="4"/>
      <c r="K65" s="4"/>
      <c r="L65" s="4"/>
      <c r="M65" s="4"/>
      <c r="N65" s="10">
        <v>0.63</v>
      </c>
      <c r="O65" s="11">
        <f t="shared" si="0"/>
        <v>-8033239.9730483126</v>
      </c>
    </row>
    <row r="66" spans="1:15" ht="15.5">
      <c r="A66" s="58" t="s">
        <v>73</v>
      </c>
      <c r="B66" s="58" t="s">
        <v>10</v>
      </c>
      <c r="C66" s="58" t="s">
        <v>11</v>
      </c>
      <c r="D66" s="58" t="s">
        <v>12</v>
      </c>
      <c r="E66" s="58" t="s">
        <v>13</v>
      </c>
      <c r="F66" s="58" t="s">
        <v>14</v>
      </c>
      <c r="G66" s="4"/>
      <c r="H66" s="4"/>
      <c r="I66" s="4"/>
      <c r="J66" s="4"/>
      <c r="K66" s="4"/>
      <c r="L66" s="4"/>
      <c r="M66" s="4"/>
      <c r="N66" s="10">
        <v>0.64</v>
      </c>
      <c r="O66" s="11">
        <f t="shared" si="0"/>
        <v>-8085368.1841220325</v>
      </c>
    </row>
    <row r="67" spans="1:15" ht="15.5">
      <c r="A67" s="58" t="s">
        <v>77</v>
      </c>
      <c r="B67" s="41">
        <v>-350000</v>
      </c>
      <c r="C67" s="41">
        <f t="shared" ref="C67:F67" si="19">-$E$62</f>
        <v>-350000</v>
      </c>
      <c r="D67" s="41">
        <f t="shared" si="19"/>
        <v>-350000</v>
      </c>
      <c r="E67" s="41">
        <f t="shared" si="19"/>
        <v>-350000</v>
      </c>
      <c r="F67" s="41">
        <f t="shared" si="19"/>
        <v>-350000</v>
      </c>
      <c r="G67" s="4"/>
      <c r="H67" s="4"/>
      <c r="I67" s="4"/>
      <c r="J67" s="4"/>
      <c r="K67" s="4"/>
      <c r="L67" s="4"/>
      <c r="M67" s="4"/>
      <c r="N67" s="10">
        <v>0.65</v>
      </c>
      <c r="O67" s="11">
        <f t="shared" si="0"/>
        <v>-8133913.2976390608</v>
      </c>
    </row>
    <row r="68" spans="1:15" ht="15.5">
      <c r="A68" s="37" t="s">
        <v>37</v>
      </c>
      <c r="B68" s="41">
        <f t="shared" ref="B68:F68" si="20">SUM(B67)</f>
        <v>-350000</v>
      </c>
      <c r="C68" s="41">
        <f t="shared" si="20"/>
        <v>-350000</v>
      </c>
      <c r="D68" s="41">
        <f t="shared" si="20"/>
        <v>-350000</v>
      </c>
      <c r="E68" s="41">
        <f t="shared" si="20"/>
        <v>-350000</v>
      </c>
      <c r="F68" s="41">
        <f t="shared" si="20"/>
        <v>-350000</v>
      </c>
      <c r="G68" s="4"/>
      <c r="H68" s="4"/>
      <c r="I68" s="4"/>
      <c r="J68" s="4"/>
      <c r="K68" s="4"/>
      <c r="L68" s="4"/>
      <c r="M68" s="4"/>
      <c r="N68" s="10">
        <v>0.66</v>
      </c>
      <c r="O68" s="11">
        <f t="shared" si="0"/>
        <v>-8179052.1860347074</v>
      </c>
    </row>
    <row r="69" spans="1:15" ht="15.5">
      <c r="A69" s="4"/>
      <c r="B69" s="50" t="s">
        <v>18</v>
      </c>
      <c r="C69" s="4"/>
      <c r="D69" s="4"/>
      <c r="E69" s="4"/>
      <c r="F69" s="4"/>
      <c r="G69" s="4"/>
      <c r="H69" s="4"/>
      <c r="I69" s="4"/>
      <c r="J69" s="4"/>
      <c r="K69" s="4"/>
      <c r="L69" s="4"/>
      <c r="M69" s="4"/>
      <c r="N69" s="10">
        <v>0.67</v>
      </c>
      <c r="O69" s="11">
        <f t="shared" si="0"/>
        <v>-8220952.7071385086</v>
      </c>
    </row>
    <row r="70" spans="1:15" ht="15.5">
      <c r="A70" s="4"/>
      <c r="B70" s="4"/>
      <c r="C70" s="4"/>
      <c r="D70" s="4"/>
      <c r="E70" s="4"/>
      <c r="F70" s="4"/>
      <c r="G70" s="4"/>
      <c r="H70" s="4"/>
      <c r="I70" s="4"/>
      <c r="J70" s="4"/>
      <c r="K70" s="4"/>
      <c r="L70" s="4"/>
      <c r="M70" s="4"/>
      <c r="N70" s="10">
        <v>0.68</v>
      </c>
      <c r="O70" s="11">
        <f t="shared" si="0"/>
        <v>-8259774.200672064</v>
      </c>
    </row>
    <row r="71" spans="1:15" ht="15.5">
      <c r="A71" s="58" t="s">
        <v>79</v>
      </c>
      <c r="B71" s="59">
        <v>0.2</v>
      </c>
      <c r="C71" s="4"/>
      <c r="D71" s="4"/>
      <c r="E71" s="4"/>
      <c r="F71" s="4"/>
      <c r="G71" s="4"/>
      <c r="H71" s="4"/>
      <c r="I71" s="4"/>
      <c r="J71" s="4"/>
      <c r="K71" s="4"/>
      <c r="L71" s="4"/>
      <c r="M71" s="4"/>
      <c r="N71" s="10">
        <v>0.69</v>
      </c>
      <c r="O71" s="11">
        <f t="shared" si="0"/>
        <v>-8295667.9550115811</v>
      </c>
    </row>
    <row r="72" spans="1:15" ht="15.5">
      <c r="A72" s="58" t="s">
        <v>80</v>
      </c>
      <c r="B72" s="59">
        <v>0.2</v>
      </c>
      <c r="C72" s="4"/>
      <c r="D72" s="4"/>
      <c r="E72" s="4"/>
      <c r="F72" s="4"/>
      <c r="G72" s="4"/>
      <c r="H72" s="4"/>
      <c r="I72" s="4"/>
      <c r="J72" s="4"/>
      <c r="K72" s="4"/>
      <c r="L72" s="4"/>
      <c r="M72" s="4"/>
      <c r="N72" s="10">
        <v>0.7</v>
      </c>
      <c r="O72" s="11">
        <f t="shared" si="0"/>
        <v>-8328777.6461465536</v>
      </c>
    </row>
    <row r="73" spans="1:15" ht="15.5">
      <c r="A73" s="58" t="s">
        <v>81</v>
      </c>
      <c r="B73" s="59">
        <v>0.03</v>
      </c>
      <c r="C73" s="4"/>
      <c r="D73" s="4"/>
      <c r="E73" s="4"/>
      <c r="F73" s="4"/>
      <c r="G73" s="4"/>
      <c r="H73" s="4"/>
      <c r="I73" s="4"/>
      <c r="J73" s="4"/>
      <c r="K73" s="4"/>
      <c r="L73" s="4"/>
      <c r="M73" s="4"/>
      <c r="N73" s="10">
        <v>0.71</v>
      </c>
      <c r="O73" s="11">
        <f t="shared" si="0"/>
        <v>-8359239.7506305808</v>
      </c>
    </row>
    <row r="74" spans="1:15" ht="15.5">
      <c r="A74" s="4"/>
      <c r="B74" s="4"/>
      <c r="C74" s="4"/>
      <c r="D74" s="4"/>
      <c r="E74" s="4"/>
      <c r="F74" s="4"/>
      <c r="G74" s="4"/>
      <c r="H74" s="4"/>
      <c r="I74" s="4"/>
      <c r="J74" s="4"/>
      <c r="K74" s="4"/>
      <c r="L74" s="4"/>
      <c r="M74" s="4"/>
      <c r="N74" s="10">
        <v>0.72</v>
      </c>
      <c r="O74" s="11">
        <f t="shared" si="0"/>
        <v>-8387183.9341951748</v>
      </c>
    </row>
    <row r="75" spans="1:15" ht="15.5">
      <c r="A75" s="4"/>
      <c r="B75" s="4"/>
      <c r="C75" s="4"/>
      <c r="D75" s="4"/>
      <c r="E75" s="4"/>
      <c r="F75" s="4"/>
      <c r="G75" s="4"/>
      <c r="H75" s="4"/>
      <c r="I75" s="4"/>
      <c r="J75" s="4"/>
      <c r="K75" s="4"/>
      <c r="L75" s="4"/>
      <c r="M75" s="4"/>
      <c r="N75" s="10">
        <v>0.73</v>
      </c>
      <c r="O75" s="11">
        <f t="shared" si="0"/>
        <v>-8412733.4175814744</v>
      </c>
    </row>
    <row r="76" spans="1:15" ht="15.5">
      <c r="A76" s="37" t="s">
        <v>82</v>
      </c>
      <c r="B76" s="38">
        <v>0</v>
      </c>
      <c r="C76" s="38">
        <v>1</v>
      </c>
      <c r="D76" s="38">
        <v>2</v>
      </c>
      <c r="E76" s="38">
        <v>3</v>
      </c>
      <c r="F76" s="60">
        <v>4</v>
      </c>
      <c r="G76" s="38">
        <v>5</v>
      </c>
      <c r="H76" s="4"/>
      <c r="I76" s="4"/>
      <c r="J76" s="4"/>
      <c r="K76" s="4"/>
      <c r="L76" s="4"/>
      <c r="M76" s="4"/>
      <c r="N76" s="10">
        <v>0.74</v>
      </c>
      <c r="O76" s="11">
        <f t="shared" si="0"/>
        <v>-8436005.321037624</v>
      </c>
    </row>
    <row r="77" spans="1:15" ht="15.5">
      <c r="A77" s="38" t="s">
        <v>83</v>
      </c>
      <c r="B77" s="33"/>
      <c r="C77" s="39">
        <f t="shared" ref="C77:G77" si="21">B15</f>
        <v>13417200</v>
      </c>
      <c r="D77" s="39">
        <f t="shared" si="21"/>
        <v>19116544</v>
      </c>
      <c r="E77" s="39">
        <f t="shared" si="21"/>
        <v>26696568</v>
      </c>
      <c r="F77" s="39">
        <f t="shared" si="21"/>
        <v>38249628</v>
      </c>
      <c r="G77" s="39">
        <f t="shared" si="21"/>
        <v>56218876</v>
      </c>
      <c r="H77" s="4"/>
      <c r="I77" s="4"/>
      <c r="J77" s="4"/>
      <c r="K77" s="4"/>
      <c r="L77" s="4"/>
      <c r="M77" s="4"/>
      <c r="N77" s="10">
        <v>0.75</v>
      </c>
      <c r="O77" s="11">
        <f t="shared" si="0"/>
        <v>-8457110.9888302851</v>
      </c>
    </row>
    <row r="78" spans="1:15" ht="15.5">
      <c r="A78" s="38" t="s">
        <v>84</v>
      </c>
      <c r="B78" s="33"/>
      <c r="C78" s="39">
        <f t="shared" ref="C78:G78" si="22">C77</f>
        <v>13417200</v>
      </c>
      <c r="D78" s="39">
        <f t="shared" si="22"/>
        <v>19116544</v>
      </c>
      <c r="E78" s="39">
        <f t="shared" si="22"/>
        <v>26696568</v>
      </c>
      <c r="F78" s="39">
        <f t="shared" si="22"/>
        <v>38249628</v>
      </c>
      <c r="G78" s="39">
        <f t="shared" si="22"/>
        <v>56218876</v>
      </c>
      <c r="H78" s="4"/>
      <c r="I78" s="4"/>
      <c r="J78" s="4"/>
      <c r="K78" s="4"/>
      <c r="L78" s="4"/>
      <c r="M78" s="4"/>
      <c r="N78" s="10">
        <v>0.76</v>
      </c>
      <c r="O78" s="11">
        <f t="shared" si="0"/>
        <v>-8476156.2950267829</v>
      </c>
    </row>
    <row r="79" spans="1:15" ht="15.5">
      <c r="A79" s="38" t="s">
        <v>85</v>
      </c>
      <c r="B79" s="33"/>
      <c r="C79" s="39">
        <f t="shared" ref="C79:G79" si="23">C58</f>
        <v>-21420000</v>
      </c>
      <c r="D79" s="39">
        <f t="shared" si="23"/>
        <v>-24270000</v>
      </c>
      <c r="E79" s="39">
        <f t="shared" si="23"/>
        <v>-31970000</v>
      </c>
      <c r="F79" s="39">
        <f t="shared" si="23"/>
        <v>-38070000</v>
      </c>
      <c r="G79" s="39">
        <f t="shared" si="23"/>
        <v>-46470000</v>
      </c>
      <c r="H79" s="4"/>
      <c r="I79" s="4"/>
      <c r="J79" s="4"/>
      <c r="K79" s="4"/>
      <c r="L79" s="4"/>
      <c r="M79" s="4"/>
      <c r="N79" s="10">
        <v>0.77</v>
      </c>
      <c r="O79" s="11">
        <f t="shared" si="0"/>
        <v>-8493241.9317191225</v>
      </c>
    </row>
    <row r="80" spans="1:15" ht="15.5">
      <c r="A80" s="38" t="s">
        <v>78</v>
      </c>
      <c r="B80" s="33"/>
      <c r="C80" s="39">
        <f t="shared" ref="C80:G80" si="24">B68</f>
        <v>-350000</v>
      </c>
      <c r="D80" s="39">
        <f t="shared" si="24"/>
        <v>-350000</v>
      </c>
      <c r="E80" s="39">
        <f t="shared" si="24"/>
        <v>-350000</v>
      </c>
      <c r="F80" s="39">
        <f t="shared" si="24"/>
        <v>-350000</v>
      </c>
      <c r="G80" s="39">
        <f t="shared" si="24"/>
        <v>-350000</v>
      </c>
      <c r="H80" s="4"/>
      <c r="I80" s="4"/>
      <c r="J80" s="4"/>
      <c r="K80" s="4"/>
      <c r="L80" s="4"/>
      <c r="M80" s="4"/>
      <c r="N80" s="10">
        <v>0.78</v>
      </c>
      <c r="O80" s="11">
        <f t="shared" si="0"/>
        <v>-8508463.6807821188</v>
      </c>
    </row>
    <row r="81" spans="1:15" ht="15.5">
      <c r="A81" s="38" t="s">
        <v>86</v>
      </c>
      <c r="B81" s="33"/>
      <c r="C81" s="39">
        <f t="shared" ref="C81:G81" si="25">C78+C79+C80</f>
        <v>-8352800</v>
      </c>
      <c r="D81" s="39">
        <f t="shared" si="25"/>
        <v>-5503456</v>
      </c>
      <c r="E81" s="39">
        <f t="shared" si="25"/>
        <v>-5623432</v>
      </c>
      <c r="F81" s="39">
        <f t="shared" si="25"/>
        <v>-170372</v>
      </c>
      <c r="G81" s="39">
        <f t="shared" si="25"/>
        <v>9398876</v>
      </c>
      <c r="H81" s="4"/>
      <c r="I81" s="4"/>
      <c r="J81" s="4"/>
      <c r="K81" s="4"/>
      <c r="L81" s="4"/>
      <c r="M81" s="4"/>
      <c r="N81" s="10">
        <v>0.79</v>
      </c>
      <c r="O81" s="11">
        <f t="shared" si="0"/>
        <v>-8521912.670184616</v>
      </c>
    </row>
    <row r="82" spans="1:15" ht="15.5">
      <c r="A82" s="38" t="s">
        <v>87</v>
      </c>
      <c r="B82" s="33"/>
      <c r="C82" s="39">
        <f t="shared" ref="C82:G82" si="26">C81*0.2</f>
        <v>-1670560</v>
      </c>
      <c r="D82" s="39">
        <f t="shared" si="26"/>
        <v>-1100691.2</v>
      </c>
      <c r="E82" s="39">
        <f t="shared" si="26"/>
        <v>-1124686.4000000001</v>
      </c>
      <c r="F82" s="39">
        <f t="shared" si="26"/>
        <v>-34074.400000000001</v>
      </c>
      <c r="G82" s="39">
        <f t="shared" si="26"/>
        <v>1879775.2000000002</v>
      </c>
      <c r="H82" s="4"/>
      <c r="I82" s="32"/>
      <c r="J82" s="4"/>
      <c r="K82" s="4"/>
      <c r="L82" s="4"/>
      <c r="M82" s="4"/>
      <c r="N82" s="10">
        <v>0.8</v>
      </c>
      <c r="O82" s="11">
        <f t="shared" si="0"/>
        <v>-8533675.6158046219</v>
      </c>
    </row>
    <row r="83" spans="1:15" ht="15.5">
      <c r="A83" s="38" t="s">
        <v>88</v>
      </c>
      <c r="B83" s="33"/>
      <c r="C83" s="39">
        <f t="shared" ref="C83:F83" si="27">C81+C82</f>
        <v>-10023360</v>
      </c>
      <c r="D83" s="39">
        <f t="shared" si="27"/>
        <v>-6604147.2000000002</v>
      </c>
      <c r="E83" s="39">
        <f t="shared" si="27"/>
        <v>-6748118.4000000004</v>
      </c>
      <c r="F83" s="39">
        <f t="shared" si="27"/>
        <v>-204446.4</v>
      </c>
      <c r="G83" s="39">
        <f>G81-G82</f>
        <v>7519100.7999999998</v>
      </c>
      <c r="H83" s="4"/>
      <c r="I83" s="4"/>
      <c r="J83" s="4"/>
      <c r="K83" s="4"/>
      <c r="L83" s="4"/>
      <c r="M83" s="4"/>
      <c r="N83" s="10">
        <v>0.81</v>
      </c>
      <c r="O83" s="11">
        <f t="shared" si="0"/>
        <v>-8543835.0496362224</v>
      </c>
    </row>
    <row r="84" spans="1:15" ht="15.5">
      <c r="A84" s="58" t="s">
        <v>89</v>
      </c>
      <c r="B84" s="52">
        <f t="shared" ref="B84:G84" si="28">B57</f>
        <v>-3000000</v>
      </c>
      <c r="C84" s="52">
        <f t="shared" si="28"/>
        <v>0</v>
      </c>
      <c r="D84" s="52">
        <f t="shared" si="28"/>
        <v>0</v>
      </c>
      <c r="E84" s="52">
        <f t="shared" si="28"/>
        <v>-500000</v>
      </c>
      <c r="F84" s="52">
        <f t="shared" si="28"/>
        <v>0</v>
      </c>
      <c r="G84" s="52">
        <f t="shared" si="28"/>
        <v>0</v>
      </c>
      <c r="H84" s="4"/>
      <c r="I84" s="4"/>
      <c r="J84" s="4"/>
      <c r="K84" s="4"/>
      <c r="L84" s="4"/>
      <c r="M84" s="4"/>
      <c r="N84" s="10">
        <v>0.82</v>
      </c>
      <c r="O84" s="11">
        <f t="shared" si="0"/>
        <v>-8552469.5352173299</v>
      </c>
    </row>
    <row r="85" spans="1:15" ht="15.5">
      <c r="A85" s="58" t="s">
        <v>90</v>
      </c>
      <c r="B85" s="33">
        <v>0</v>
      </c>
      <c r="C85" s="33">
        <v>0</v>
      </c>
      <c r="D85" s="33">
        <v>0</v>
      </c>
      <c r="E85" s="33">
        <v>0</v>
      </c>
      <c r="F85" s="33">
        <v>0</v>
      </c>
      <c r="G85" s="33">
        <v>0</v>
      </c>
      <c r="H85" s="4" t="s">
        <v>91</v>
      </c>
      <c r="I85" s="4"/>
      <c r="J85" s="4"/>
      <c r="K85" s="4"/>
      <c r="L85" s="4"/>
      <c r="M85" s="4"/>
      <c r="N85" s="10">
        <v>0.83</v>
      </c>
      <c r="O85" s="11">
        <f t="shared" si="0"/>
        <v>-8559653.8710529469</v>
      </c>
    </row>
    <row r="86" spans="1:15" ht="15.5">
      <c r="A86" s="58" t="s">
        <v>92</v>
      </c>
      <c r="B86" s="52">
        <f t="shared" ref="B86:G86" si="29">-B80+B83+B84+B85</f>
        <v>-3000000</v>
      </c>
      <c r="C86" s="52">
        <f t="shared" si="29"/>
        <v>-9673360</v>
      </c>
      <c r="D86" s="52">
        <f t="shared" si="29"/>
        <v>-6254147.2000000002</v>
      </c>
      <c r="E86" s="52">
        <f t="shared" si="29"/>
        <v>-6898118.4000000004</v>
      </c>
      <c r="F86" s="52">
        <f t="shared" si="29"/>
        <v>145553.60000000001</v>
      </c>
      <c r="G86" s="52">
        <f t="shared" si="29"/>
        <v>7869100.7999999998</v>
      </c>
      <c r="H86" s="4"/>
      <c r="I86" s="4"/>
      <c r="J86" s="4"/>
      <c r="K86" s="4"/>
      <c r="L86" s="4"/>
      <c r="M86" s="4"/>
      <c r="N86" s="10">
        <v>0.84</v>
      </c>
      <c r="O86" s="11">
        <f t="shared" si="0"/>
        <v>-8565459.282757923</v>
      </c>
    </row>
    <row r="87" spans="1:15" ht="15.5">
      <c r="A87" s="58" t="s">
        <v>93</v>
      </c>
      <c r="B87" s="33"/>
      <c r="C87" s="33"/>
      <c r="D87" s="33"/>
      <c r="E87" s="33"/>
      <c r="F87" s="33"/>
      <c r="G87" s="33">
        <f>G86*(1+B73)/(B71-B73)</f>
        <v>47677493.082352936</v>
      </c>
      <c r="H87" s="4"/>
      <c r="I87" s="4"/>
      <c r="J87" s="4"/>
      <c r="K87" s="4"/>
      <c r="L87" s="4"/>
      <c r="M87" s="4"/>
      <c r="N87" s="10">
        <v>0.85</v>
      </c>
      <c r="O87" s="11">
        <f t="shared" si="0"/>
        <v>-8569953.6045961529</v>
      </c>
    </row>
    <row r="88" spans="1:15" ht="15.5">
      <c r="A88" s="58" t="s">
        <v>94</v>
      </c>
      <c r="B88" s="52">
        <f t="shared" ref="B88:G88" si="30">SUM(B86:B87)</f>
        <v>-3000000</v>
      </c>
      <c r="C88" s="52">
        <f t="shared" si="30"/>
        <v>-9673360</v>
      </c>
      <c r="D88" s="52">
        <f t="shared" si="30"/>
        <v>-6254147.2000000002</v>
      </c>
      <c r="E88" s="52">
        <f t="shared" si="30"/>
        <v>-6898118.4000000004</v>
      </c>
      <c r="F88" s="52">
        <f t="shared" si="30"/>
        <v>145553.60000000001</v>
      </c>
      <c r="G88" s="52">
        <f t="shared" si="30"/>
        <v>55546593.882352933</v>
      </c>
      <c r="H88" s="4"/>
      <c r="I88" s="4"/>
      <c r="J88" s="4"/>
      <c r="K88" s="4"/>
      <c r="L88" s="4"/>
      <c r="M88" s="4"/>
      <c r="N88" s="10">
        <v>0.86</v>
      </c>
      <c r="O88" s="11">
        <f t="shared" si="0"/>
        <v>-8573201.451049285</v>
      </c>
    </row>
    <row r="89" spans="1:15" ht="15.5">
      <c r="A89" s="58" t="s">
        <v>95</v>
      </c>
      <c r="B89" s="33">
        <f t="shared" ref="B89:G89" si="31">B88/(1+$B$71)^B76</f>
        <v>-3000000</v>
      </c>
      <c r="C89" s="33">
        <f t="shared" si="31"/>
        <v>-8061133.333333334</v>
      </c>
      <c r="D89" s="33">
        <f t="shared" si="31"/>
        <v>-4343157.777777778</v>
      </c>
      <c r="E89" s="33">
        <f t="shared" si="31"/>
        <v>-3991966.666666667</v>
      </c>
      <c r="F89" s="33">
        <f t="shared" si="31"/>
        <v>70193.67283950618</v>
      </c>
      <c r="G89" s="33">
        <f t="shared" si="31"/>
        <v>22322930.2832244</v>
      </c>
      <c r="H89" s="4"/>
      <c r="I89" s="4"/>
      <c r="J89" s="4"/>
      <c r="K89" s="4"/>
      <c r="L89" s="4"/>
      <c r="M89" s="4"/>
      <c r="N89" s="10">
        <v>0.87</v>
      </c>
      <c r="O89" s="11">
        <f t="shared" si="0"/>
        <v>-8575264.379007332</v>
      </c>
    </row>
    <row r="90" spans="1:15" ht="15.5">
      <c r="A90" s="61" t="s">
        <v>3</v>
      </c>
      <c r="B90" s="33">
        <f>SUM(B89:G89)</f>
        <v>2996866.1782861277</v>
      </c>
      <c r="C90" s="33"/>
      <c r="D90" s="33"/>
      <c r="E90" s="33"/>
      <c r="F90" s="33"/>
      <c r="G90" s="33"/>
      <c r="H90" s="4"/>
      <c r="I90" s="4"/>
      <c r="J90" s="4"/>
      <c r="K90" s="4"/>
      <c r="L90" s="4"/>
      <c r="M90" s="4"/>
      <c r="N90" s="10">
        <v>0.88</v>
      </c>
      <c r="O90" s="11">
        <f t="shared" si="0"/>
        <v>-8576201.0411355812</v>
      </c>
    </row>
    <row r="91" spans="1:15" ht="15.5">
      <c r="A91" s="62" t="s">
        <v>96</v>
      </c>
      <c r="B91" s="63">
        <f>IRR(B88:G88)</f>
        <v>0.24976804762053462</v>
      </c>
      <c r="C91" s="4"/>
      <c r="D91" s="4"/>
      <c r="E91" s="4"/>
      <c r="F91" s="4"/>
      <c r="G91" s="4"/>
      <c r="H91" s="4"/>
      <c r="I91" s="4"/>
      <c r="J91" s="4"/>
      <c r="K91" s="4"/>
      <c r="L91" s="4"/>
      <c r="M91" s="4"/>
      <c r="N91" s="10">
        <v>0.89</v>
      </c>
      <c r="O91" s="11">
        <f t="shared" si="0"/>
        <v>-8576067.3309369124</v>
      </c>
    </row>
    <row r="92" spans="1:15" ht="15.5">
      <c r="A92" s="4"/>
      <c r="B92" s="4"/>
      <c r="C92" s="4"/>
      <c r="D92" s="4"/>
      <c r="E92" s="4"/>
      <c r="F92" s="4"/>
      <c r="G92" s="4"/>
      <c r="H92" s="4"/>
      <c r="I92" s="4"/>
      <c r="J92" s="4"/>
      <c r="K92" s="4"/>
      <c r="L92" s="4"/>
      <c r="M92" s="4"/>
      <c r="N92" s="10">
        <v>0.9</v>
      </c>
      <c r="O92" s="11">
        <f t="shared" si="0"/>
        <v>-8574916.5199956484</v>
      </c>
    </row>
    <row r="93" spans="1:15" ht="15.5">
      <c r="A93" s="87" t="s">
        <v>97</v>
      </c>
      <c r="B93" s="83"/>
      <c r="C93" s="83"/>
      <c r="D93" s="83"/>
      <c r="E93" s="83"/>
      <c r="F93" s="83"/>
      <c r="G93" s="83"/>
      <c r="H93" s="4"/>
      <c r="I93" s="4"/>
      <c r="J93" s="4"/>
      <c r="K93" s="4"/>
      <c r="L93" s="4"/>
      <c r="M93" s="4"/>
      <c r="N93" s="10">
        <v>0.91</v>
      </c>
      <c r="O93" s="11">
        <f t="shared" si="0"/>
        <v>-8572799.3878584802</v>
      </c>
    </row>
    <row r="94" spans="1:15" ht="15.5">
      <c r="A94" s="5" t="s">
        <v>98</v>
      </c>
      <c r="B94" s="64">
        <v>0</v>
      </c>
      <c r="C94" s="64">
        <v>1</v>
      </c>
      <c r="D94" s="64">
        <v>2</v>
      </c>
      <c r="E94" s="64">
        <v>3</v>
      </c>
      <c r="F94" s="64">
        <v>4</v>
      </c>
      <c r="G94" s="64">
        <v>5</v>
      </c>
      <c r="H94" s="4"/>
      <c r="I94" s="4"/>
      <c r="J94" s="4"/>
      <c r="K94" s="4"/>
      <c r="L94" s="4"/>
      <c r="M94" s="4"/>
      <c r="N94" s="10">
        <v>0.92</v>
      </c>
      <c r="O94" s="11">
        <f t="shared" si="0"/>
        <v>-8569764.344979303</v>
      </c>
    </row>
    <row r="95" spans="1:15" ht="15.5">
      <c r="A95" s="65" t="s">
        <v>92</v>
      </c>
      <c r="B95" s="66">
        <f t="shared" ref="B95:G95" si="32">B86</f>
        <v>-3000000</v>
      </c>
      <c r="C95" s="66">
        <f t="shared" si="32"/>
        <v>-9673360</v>
      </c>
      <c r="D95" s="66">
        <f t="shared" si="32"/>
        <v>-6254147.2000000002</v>
      </c>
      <c r="E95" s="66">
        <f t="shared" si="32"/>
        <v>-6898118.4000000004</v>
      </c>
      <c r="F95" s="66">
        <f t="shared" si="32"/>
        <v>145553.60000000001</v>
      </c>
      <c r="G95" s="66">
        <f t="shared" si="32"/>
        <v>7869100.7999999998</v>
      </c>
      <c r="H95" s="4"/>
      <c r="I95" s="4"/>
      <c r="J95" s="4"/>
      <c r="K95" s="4"/>
      <c r="L95" s="4"/>
      <c r="M95" s="4"/>
      <c r="N95" s="10">
        <v>0.93</v>
      </c>
      <c r="O95" s="11">
        <f t="shared" si="0"/>
        <v>-8565857.5491282605</v>
      </c>
    </row>
    <row r="96" spans="1:15" ht="15.5">
      <c r="A96" s="67" t="s">
        <v>99</v>
      </c>
      <c r="B96" s="66">
        <f>B95</f>
        <v>-3000000</v>
      </c>
      <c r="C96" s="66">
        <f t="shared" ref="C96:G96" si="33">B95+C95</f>
        <v>-12673360</v>
      </c>
      <c r="D96" s="68">
        <f t="shared" si="33"/>
        <v>-15927507.199999999</v>
      </c>
      <c r="E96" s="66">
        <f t="shared" si="33"/>
        <v>-13152265.600000001</v>
      </c>
      <c r="F96" s="66">
        <f t="shared" si="33"/>
        <v>-6752564.8000000007</v>
      </c>
      <c r="G96" s="66">
        <f t="shared" si="33"/>
        <v>8014654.3999999994</v>
      </c>
      <c r="N96" s="10">
        <v>0.94</v>
      </c>
      <c r="O96" s="11">
        <f t="shared" si="0"/>
        <v>-8561123.0156402439</v>
      </c>
    </row>
    <row r="97" spans="1:26" ht="15.5">
      <c r="A97" s="67" t="s">
        <v>100</v>
      </c>
      <c r="B97" s="69"/>
      <c r="C97" s="69"/>
      <c r="D97" s="69"/>
      <c r="E97" s="70"/>
      <c r="F97" s="69"/>
      <c r="G97" s="71">
        <f>-F96/G95+F94</f>
        <v>4.8581113613387696</v>
      </c>
      <c r="H97" s="72" t="s">
        <v>101</v>
      </c>
      <c r="N97" s="10">
        <v>0.95</v>
      </c>
      <c r="O97" s="11">
        <f t="shared" si="0"/>
        <v>-8555602.7218550369</v>
      </c>
    </row>
    <row r="98" spans="1:26" ht="15.5">
      <c r="A98" s="72" t="s">
        <v>102</v>
      </c>
      <c r="N98" s="10">
        <v>0.96</v>
      </c>
      <c r="O98" s="11">
        <f t="shared" si="0"/>
        <v>-8549336.7060795017</v>
      </c>
    </row>
    <row r="99" spans="1:26" ht="15.5">
      <c r="N99" s="10">
        <v>0.97</v>
      </c>
      <c r="O99" s="11">
        <f t="shared" si="0"/>
        <v>-8542363.1613819897</v>
      </c>
    </row>
    <row r="100" spans="1:26" ht="15.5">
      <c r="N100" s="10">
        <v>0.98</v>
      </c>
      <c r="O100" s="11">
        <f t="shared" si="0"/>
        <v>-8534718.5245102644</v>
      </c>
    </row>
    <row r="101" spans="1:26" ht="18">
      <c r="N101" s="10">
        <v>0.99</v>
      </c>
      <c r="O101" s="11">
        <f t="shared" si="0"/>
        <v>-8526437.5602065101</v>
      </c>
      <c r="T101" s="73" t="s">
        <v>98</v>
      </c>
      <c r="U101" s="74">
        <v>0</v>
      </c>
      <c r="V101" s="74">
        <v>1</v>
      </c>
      <c r="W101" s="74">
        <v>2</v>
      </c>
      <c r="X101" s="74">
        <v>3</v>
      </c>
      <c r="Y101" s="74">
        <v>4</v>
      </c>
      <c r="Z101" s="74">
        <v>5</v>
      </c>
    </row>
    <row r="102" spans="1:26" ht="16.5">
      <c r="N102" s="10">
        <v>1</v>
      </c>
      <c r="O102" s="11">
        <f t="shared" si="0"/>
        <v>-8517553.4411764704</v>
      </c>
      <c r="T102" s="75" t="s">
        <v>88</v>
      </c>
      <c r="U102" s="77">
        <v>0</v>
      </c>
      <c r="V102" s="76">
        <f t="shared" ref="V102:Z102" si="34">C83</f>
        <v>-10023360</v>
      </c>
      <c r="W102" s="76">
        <f t="shared" si="34"/>
        <v>-6604147.2000000002</v>
      </c>
      <c r="X102" s="76">
        <f t="shared" si="34"/>
        <v>-6748118.4000000004</v>
      </c>
      <c r="Y102" s="76">
        <f t="shared" si="34"/>
        <v>-204446.4</v>
      </c>
      <c r="Z102" s="76">
        <f t="shared" si="34"/>
        <v>7519100.7999999998</v>
      </c>
    </row>
    <row r="104" spans="1:26">
      <c r="N104" s="72" t="s">
        <v>103</v>
      </c>
    </row>
    <row r="108" spans="1:26" ht="102" customHeight="1">
      <c r="A108" s="82" t="s">
        <v>104</v>
      </c>
      <c r="B108" s="83"/>
      <c r="C108" s="83"/>
      <c r="D108" s="83"/>
      <c r="E108" s="83"/>
      <c r="F108" s="83"/>
    </row>
    <row r="109" spans="1:26">
      <c r="A109" s="82"/>
      <c r="B109" s="83"/>
      <c r="C109" s="83"/>
      <c r="D109" s="83"/>
      <c r="E109" s="83"/>
      <c r="F109" s="83"/>
    </row>
    <row r="110" spans="1:26">
      <c r="A110" s="82"/>
      <c r="B110" s="83"/>
      <c r="C110" s="83"/>
      <c r="D110" s="83"/>
      <c r="E110" s="83"/>
      <c r="F110" s="83"/>
    </row>
    <row r="111" spans="1:26">
      <c r="A111" s="82"/>
      <c r="B111" s="83"/>
      <c r="C111" s="83"/>
      <c r="D111" s="83"/>
      <c r="E111" s="83"/>
      <c r="F111" s="83"/>
    </row>
    <row r="112" spans="1:26">
      <c r="A112" s="82"/>
      <c r="B112" s="83"/>
      <c r="C112" s="83"/>
      <c r="D112" s="83"/>
      <c r="E112" s="83"/>
      <c r="F112" s="83"/>
    </row>
    <row r="113" spans="1:6">
      <c r="A113" s="82"/>
      <c r="B113" s="83"/>
      <c r="C113" s="83"/>
      <c r="D113" s="83"/>
      <c r="E113" s="83"/>
      <c r="F113" s="83"/>
    </row>
    <row r="114" spans="1:6">
      <c r="A114" s="82"/>
      <c r="B114" s="83"/>
      <c r="C114" s="83"/>
      <c r="D114" s="83"/>
      <c r="E114" s="83"/>
      <c r="F114" s="83"/>
    </row>
    <row r="115" spans="1:6">
      <c r="A115" s="82"/>
      <c r="B115" s="83"/>
      <c r="C115" s="83"/>
      <c r="D115" s="83"/>
      <c r="E115" s="83"/>
      <c r="F115" s="83"/>
    </row>
    <row r="116" spans="1:6">
      <c r="A116" s="72"/>
      <c r="B116" s="72"/>
      <c r="C116" s="72"/>
      <c r="D116" s="72"/>
    </row>
  </sheetData>
  <mergeCells count="22">
    <mergeCell ref="A65:F65"/>
    <mergeCell ref="A93:G93"/>
    <mergeCell ref="A108:F108"/>
    <mergeCell ref="J1:L1"/>
    <mergeCell ref="A3:G3"/>
    <mergeCell ref="J4:L4"/>
    <mergeCell ref="A5:F5"/>
    <mergeCell ref="A8:F8"/>
    <mergeCell ref="J8:L8"/>
    <mergeCell ref="H10:I10"/>
    <mergeCell ref="H11:I11"/>
    <mergeCell ref="A13:G13"/>
    <mergeCell ref="J13:L13"/>
    <mergeCell ref="J16:L16"/>
    <mergeCell ref="J20:L20"/>
    <mergeCell ref="A114:F114"/>
    <mergeCell ref="A115:F115"/>
    <mergeCell ref="A109:F109"/>
    <mergeCell ref="A110:F110"/>
    <mergeCell ref="A111:F111"/>
    <mergeCell ref="A112:F112"/>
    <mergeCell ref="A113:F113"/>
  </mergeCells>
  <hyperlinks>
    <hyperlink ref="L5" r:id="rId1" xr:uid="{00000000-0004-0000-0000-000000000000}"/>
    <hyperlink ref="G6" r:id="rId2" xr:uid="{00000000-0004-0000-0000-000001000000}"/>
    <hyperlink ref="L6" r:id="rId3" location=":~:text=In%202022%2C%20the%20number%20of,observed%20was%20registered%20in%202022." xr:uid="{00000000-0004-0000-0000-000002000000}"/>
    <hyperlink ref="L7" r:id="rId4" location=":~:text=In%202022%2C%20the%20number%20of,observed%20was%20registered%20in%202022." xr:uid="{00000000-0004-0000-0000-000003000000}"/>
    <hyperlink ref="G9" r:id="rId5" location=":~:text=60%20%D0%B4%D0%BD%D0%B5%D0%B9%20%D0%BF%D0%BE%D0%B4%D0%BF%D0%B8%D1%81%D0%BA%D0%B8%20%D0%AF%D0%BD%D0%B4%D0%B5%D0%BA%D1%81%20%D0%9F%D0%BB%D1%8E%D1%81,%D0%9F%D0%BB%D1%8E%D1%81%20%D0%BB%D0%B8%D0%B1%D0%BE%20%D0%BF%D0%BE%D0%B4%D0%BF%D0%B8%D1%81%D0%BA%D0%B8%2C%20%D0%B5%D1%91%20%D0%B2%D0%BA%D0%BB%D1%8E%D1%87%D0%B0%D1%8E%D1%89%D0%B8%D0%B5." xr:uid="{00000000-0004-0000-0000-000004000000}"/>
    <hyperlink ref="L9" r:id="rId6" xr:uid="{00000000-0004-0000-0000-000005000000}"/>
    <hyperlink ref="L10" r:id="rId7" xr:uid="{00000000-0004-0000-0000-000006000000}"/>
    <hyperlink ref="L11" r:id="rId8" xr:uid="{00000000-0004-0000-0000-000007000000}"/>
    <hyperlink ref="L12" r:id="rId9" xr:uid="{00000000-0004-0000-0000-000008000000}"/>
    <hyperlink ref="G14" r:id="rId10" location=":~:text=The%20average%20CTR%20was%203.17,a%20monthly%20earning%20of%20%241%2C616." xr:uid="{00000000-0004-0000-0000-000009000000}"/>
    <hyperlink ref="L14" r:id="rId11" xr:uid="{00000000-0004-0000-0000-00000A000000}"/>
    <hyperlink ref="L15" r:id="rId12" xr:uid="{00000000-0004-0000-0000-00000B000000}"/>
    <hyperlink ref="L17" r:id="rId13" location=":~:text=%D0%9D%D0%BE%D1%80%D0%BC%D0%B0%D0%BB%D1%8C%D0%BD%D1%8B%D0%BC%20%D0%B4%D0%BB%D1%8F%20%D0%BC%D0%BE%D0%B1%D0%B8%D0%BB%D1%8C%D0%BD%D1%8B%D1%85%20%D0%B8%D0%B3%D1%80%20%D1%81%D1%87%D0%B8%D1%82%D0%B0%D0%B5%D1%82%D1%81%D1%8F,%D1%81%D0%BE%D1%82%D0%B5%D0%BD%20%D1%82%D1%8B%D1%81%D1%8F%D1%87%20%D0%B4%D0%BE%D0%BB%D0%BB%D0%B0%D1%80%D0%BE%D0%B2%20%D0%B2%20%D0%BC%D0%B5%D1%81%D1%8F%D1%86." xr:uid="{00000000-0004-0000-0000-00000C000000}"/>
    <hyperlink ref="L18" r:id="rId14" location=":~:text=%D0%9D%D0%BE%D1%80%D0%BC%D0%B0%D0%BB%D1%8C%D0%BD%D1%8B%D0%BC%20%D0%B4%D0%BB%D1%8F%20%D0%BC%D0%BE%D0%B1%D0%B8%D0%BB%D1%8C%D0%BD%D1%8B%D1%85%20%D0%B8%D0%B3%D1%80%20%D1%81%D1%87%D0%B8%D1%82%D0%B0%D0%B5%D1%82%D1%81%D1%8F,%D1%81%D0%BE%D1%82%D0%B5%D0%BD%20%D1%82%D1%8B%D1%81%D1%8F%D1%87%20%D0%B4%D0%BE%D0%BB%D0%BB%D0%B0%D1%80%D0%BE%D0%B2%20%D0%B2%20%D0%BC%D0%B5%D1%81%D1%8F%D1%86." xr:uid="{00000000-0004-0000-0000-00000D000000}"/>
    <hyperlink ref="C22" r:id="rId15" xr:uid="{00000000-0004-0000-0000-00000E000000}"/>
    <hyperlink ref="C23" r:id="rId16" xr:uid="{00000000-0004-0000-0000-00000F000000}"/>
    <hyperlink ref="C24" r:id="rId17" xr:uid="{00000000-0004-0000-0000-000010000000}"/>
    <hyperlink ref="C25" r:id="rId18" location=":~:text=Wages%20in%20Kazakhstan%20increased%20to,Month%20in%20February%20of%202000." xr:uid="{00000000-0004-0000-0000-000011000000}"/>
    <hyperlink ref="C26" r:id="rId19" location=":~:text=Wages%20in%20Kazakhstan%20increased%20to,Month%20in%20February%20of%202000." xr:uid="{00000000-0004-0000-0000-000012000000}"/>
    <hyperlink ref="C27" r:id="rId20" location=":~:text=Wages%20in%20Kazakhstan%20increased%20to,Month%20in%20February%20of%202000." xr:uid="{00000000-0004-0000-0000-000013000000}"/>
    <hyperlink ref="C28" r:id="rId21" location=":~:text=Wages%20in%20Kazakhstan%20increased%20to,Month%20in%20February%20of%202000." xr:uid="{00000000-0004-0000-0000-000014000000}"/>
    <hyperlink ref="C29" r:id="rId22" location=":~:text=Wages%20in%20Kazakhstan%20increased%20to,Month%20in%20February%20of%202000." xr:uid="{00000000-0004-0000-0000-000015000000}"/>
    <hyperlink ref="G45" r:id="rId23" xr:uid="{00000000-0004-0000-0000-000016000000}"/>
    <hyperlink ref="G47" r:id="rId24" xr:uid="{00000000-0004-0000-0000-000017000000}"/>
    <hyperlink ref="G48" r:id="rId25" xr:uid="{00000000-0004-0000-0000-000018000000}"/>
    <hyperlink ref="G49" r:id="rId26" xr:uid="{00000000-0004-0000-0000-000019000000}"/>
    <hyperlink ref="G50" r:id="rId27" xr:uid="{00000000-0004-0000-0000-00001A000000}"/>
    <hyperlink ref="F62" r:id="rId28" xr:uid="{00000000-0004-0000-0000-00001B000000}"/>
    <hyperlink ref="B69" r:id="rId29" xr:uid="{00000000-0004-0000-0000-00001C000000}"/>
    <hyperlink ref="L3" r:id="rId30" location=":~:text=Inflation%20in%20the%20Republic%20of%20Kazakhstan%20in%20June%202023%20for,in%20May%202023%20%E2%80%93%2015.9%25).&amp;text=Prices%20for%20food%20products%20over,in%20May%202023%20%E2%80%93%2013.5%25)." xr:uid="{7505D8AC-843A-4024-B370-484ECDFA4B2B}"/>
  </hyperlinks>
  <printOptions horizontalCentered="1" gridLines="1"/>
  <pageMargins left="0.7" right="0.7" top="0.75" bottom="0.75" header="0" footer="0"/>
  <pageSetup fitToHeight="0" pageOrder="overThenDown" orientation="landscape" cellComments="atEnd"/>
  <drawing r:id="rId3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8"/>
  <sheetViews>
    <sheetView tabSelected="1" workbookViewId="0"/>
  </sheetViews>
  <sheetFormatPr defaultColWidth="12.54296875" defaultRowHeight="15.75" customHeight="1"/>
  <cols>
    <col min="1" max="1" width="50.1796875" customWidth="1"/>
  </cols>
  <sheetData>
    <row r="1" spans="1:1" ht="15.75" customHeight="1">
      <c r="A1" s="72" t="s">
        <v>105</v>
      </c>
    </row>
    <row r="2" spans="1:1" ht="15.75" customHeight="1">
      <c r="A2" s="72" t="s">
        <v>106</v>
      </c>
    </row>
    <row r="3" spans="1:1" ht="15.75" customHeight="1">
      <c r="A3" s="72" t="s">
        <v>107</v>
      </c>
    </row>
    <row r="4" spans="1:1" ht="15.75" customHeight="1">
      <c r="A4" s="72" t="s">
        <v>108</v>
      </c>
    </row>
    <row r="5" spans="1:1" ht="15.75" customHeight="1">
      <c r="A5" s="72" t="s">
        <v>109</v>
      </c>
    </row>
    <row r="6" spans="1:1" ht="15.75" customHeight="1">
      <c r="A6" s="72" t="s">
        <v>110</v>
      </c>
    </row>
    <row r="7" spans="1:1" ht="15.75" customHeight="1">
      <c r="A7" s="72" t="s">
        <v>111</v>
      </c>
    </row>
    <row r="8" spans="1:1" ht="15.75" customHeight="1">
      <c r="A8" s="72" t="s">
        <v>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Income Statement</vt:lpstr>
      <vt:lpstr>R1T6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Pavilon</cp:lastModifiedBy>
  <dcterms:modified xsi:type="dcterms:W3CDTF">2023-12-01T17:08:29Z</dcterms:modified>
</cp:coreProperties>
</file>